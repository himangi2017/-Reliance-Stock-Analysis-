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4b758be1c067ac/Desktop/"/>
    </mc:Choice>
  </mc:AlternateContent>
  <xr:revisionPtr revIDLastSave="568" documentId="8_{A2FF72AE-11D8-48EF-8F31-E93E0B0020EB}" xr6:coauthVersionLast="47" xr6:coauthVersionMax="47" xr10:uidLastSave="{A42163B9-4CDC-441F-AF03-73A10893765C}"/>
  <bookViews>
    <workbookView xWindow="-108" yWindow="-108" windowWidth="23256" windowHeight="12456" activeTab="2" xr2:uid="{AF5A4803-E0BF-471D-A2D7-49B117D0DE00}"/>
  </bookViews>
  <sheets>
    <sheet name="Equity-RELIANCE-EQ-26-02-2026-2" sheetId="1" r:id="rId1"/>
    <sheet name="Perfomance Indicator" sheetId="2" r:id="rId2"/>
    <sheet name="Dashboard" sheetId="3" r:id="rId3"/>
  </sheets>
  <definedNames>
    <definedName name="_xlnm._FilterDatabase" localSheetId="0" hidden="1">'Equity-RELIANCE-EQ-26-02-2026-2'!$A$1:$M$58</definedName>
    <definedName name="_xlnm._FilterDatabase" localSheetId="1" hidden="1">'Perfomance Indicator'!$A$2:$E$59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3" l="1"/>
  <c r="G9" i="3"/>
  <c r="G7" i="3"/>
  <c r="G5" i="3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3" i="2"/>
</calcChain>
</file>

<file path=xl/sharedStrings.xml><?xml version="1.0" encoding="utf-8"?>
<sst xmlns="http://schemas.openxmlformats.org/spreadsheetml/2006/main" count="27" uniqueCount="27">
  <si>
    <t>DATE</t>
  </si>
  <si>
    <t>OPEN</t>
  </si>
  <si>
    <t>HIGH</t>
  </si>
  <si>
    <t>LOW</t>
  </si>
  <si>
    <t>CLOSE</t>
  </si>
  <si>
    <t>PREV. CLOSE</t>
  </si>
  <si>
    <t>LTP</t>
  </si>
  <si>
    <t>VWAP</t>
  </si>
  <si>
    <t>52W H</t>
  </si>
  <si>
    <t>52W L</t>
  </si>
  <si>
    <t>VOLUME</t>
  </si>
  <si>
    <t>VALUE</t>
  </si>
  <si>
    <t>NO. OF  TRADES</t>
  </si>
  <si>
    <t>Daily Return</t>
  </si>
  <si>
    <t>Price Range</t>
  </si>
  <si>
    <t xml:space="preserve">Intraday Change </t>
  </si>
  <si>
    <t>Volume Strength Indicator</t>
  </si>
  <si>
    <t xml:space="preserve"> Trending Signal</t>
  </si>
  <si>
    <t xml:space="preserve"> </t>
  </si>
  <si>
    <t>Market Trend</t>
  </si>
  <si>
    <t>Volume Activity</t>
  </si>
  <si>
    <t>Volatility</t>
  </si>
  <si>
    <t>RELIANCE Market Performance Dashboard</t>
  </si>
  <si>
    <t>Momentum</t>
  </si>
  <si>
    <t>Insight</t>
  </si>
  <si>
    <t>Result</t>
  </si>
  <si>
    <t xml:space="preserve">Perfomance Indicator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</si>
</sst>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2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name val="Calibri"/>
    </font>
    <font>
      <sz val="14"/>
      <color theme="1"/>
      <name val="Aptos Narrow"/>
      <family val="2"/>
      <scheme val="minor"/>
    </font>
    <font>
      <b/>
      <sz val="14"/>
      <name val="Calibri"/>
      <family val="2"/>
    </font>
    <font>
      <b/>
      <sz val="16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2"/>
      <color theme="0"/>
      <name val="Aptos Narrow"/>
      <family val="2"/>
    </font>
    <font>
      <b/>
      <sz val="14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/>
  </cellStyleXfs>
  <cellXfs count="43">
    <xf numFmtId="0" fontId="0" fillId="0" borderId="0" xfId="0"/>
    <xf numFmtId="3" fontId="0" fillId="0" borderId="0" xfId="0" applyNumberFormat="1"/>
    <xf numFmtId="0" fontId="0" fillId="0" borderId="10" xfId="0" applyBorder="1" applyAlignment="1">
      <alignment horizontal="center"/>
    </xf>
    <xf numFmtId="9" fontId="0" fillId="0" borderId="0" xfId="42" applyFont="1"/>
    <xf numFmtId="164" fontId="0" fillId="0" borderId="0" xfId="0" applyNumberFormat="1"/>
    <xf numFmtId="9" fontId="0" fillId="0" borderId="10" xfId="42" applyFont="1" applyBorder="1" applyAlignment="1">
      <alignment horizontal="center"/>
    </xf>
    <xf numFmtId="3" fontId="0" fillId="0" borderId="10" xfId="0" applyNumberFormat="1" applyBorder="1" applyAlignment="1">
      <alignment horizontal="center"/>
    </xf>
    <xf numFmtId="0" fontId="16" fillId="33" borderId="0" xfId="0" applyFont="1" applyFill="1" applyAlignment="1">
      <alignment horizontal="center" vertical="center" wrapText="1"/>
    </xf>
    <xf numFmtId="0" fontId="0" fillId="33" borderId="0" xfId="0" applyFill="1" applyAlignment="1">
      <alignment horizontal="center"/>
    </xf>
    <xf numFmtId="0" fontId="22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0" fillId="33" borderId="0" xfId="0" applyFill="1" applyAlignment="1">
      <alignment horizontal="center" vertical="center" wrapText="1"/>
    </xf>
    <xf numFmtId="3" fontId="0" fillId="33" borderId="0" xfId="0" applyNumberFormat="1" applyFill="1" applyAlignment="1">
      <alignment horizontal="center"/>
    </xf>
    <xf numFmtId="9" fontId="0" fillId="33" borderId="0" xfId="0" applyNumberFormat="1" applyFill="1" applyAlignment="1">
      <alignment horizontal="center"/>
    </xf>
    <xf numFmtId="0" fontId="0" fillId="33" borderId="0" xfId="0" applyFill="1"/>
    <xf numFmtId="0" fontId="25" fillId="33" borderId="0" xfId="0" applyFont="1" applyFill="1"/>
    <xf numFmtId="0" fontId="18" fillId="33" borderId="0" xfId="0" applyFont="1" applyFill="1"/>
    <xf numFmtId="0" fontId="20" fillId="33" borderId="0" xfId="0" applyFont="1" applyFill="1"/>
    <xf numFmtId="0" fontId="19" fillId="33" borderId="0" xfId="0" applyFont="1" applyFill="1"/>
    <xf numFmtId="9" fontId="0" fillId="33" borderId="0" xfId="0" applyNumberFormat="1" applyFill="1"/>
    <xf numFmtId="0" fontId="24" fillId="33" borderId="0" xfId="0" applyFont="1" applyFill="1"/>
    <xf numFmtId="0" fontId="21" fillId="33" borderId="0" xfId="0" applyFont="1" applyFill="1"/>
    <xf numFmtId="0" fontId="26" fillId="36" borderId="17" xfId="0" applyFont="1" applyFill="1" applyBorder="1" applyAlignment="1">
      <alignment horizontal="center" vertical="center" wrapText="1"/>
    </xf>
    <xf numFmtId="0" fontId="26" fillId="36" borderId="18" xfId="0" applyFont="1" applyFill="1" applyBorder="1" applyAlignment="1">
      <alignment horizontal="center"/>
    </xf>
    <xf numFmtId="9" fontId="16" fillId="35" borderId="10" xfId="42" applyFont="1" applyFill="1" applyBorder="1" applyAlignment="1">
      <alignment horizontal="center"/>
    </xf>
    <xf numFmtId="0" fontId="16" fillId="35" borderId="10" xfId="0" applyFont="1" applyFill="1" applyBorder="1" applyAlignment="1">
      <alignment horizontal="center"/>
    </xf>
    <xf numFmtId="164" fontId="16" fillId="0" borderId="17" xfId="0" applyNumberFormat="1" applyFont="1" applyBorder="1" applyAlignment="1">
      <alignment horizontal="center"/>
    </xf>
    <xf numFmtId="0" fontId="16" fillId="0" borderId="23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3" fontId="0" fillId="0" borderId="12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3" fontId="0" fillId="0" borderId="24" xfId="0" applyNumberFormat="1" applyBorder="1" applyAlignment="1">
      <alignment horizontal="center"/>
    </xf>
    <xf numFmtId="3" fontId="0" fillId="0" borderId="14" xfId="0" applyNumberFormat="1" applyBorder="1" applyAlignment="1">
      <alignment horizontal="center"/>
    </xf>
    <xf numFmtId="0" fontId="27" fillId="34" borderId="0" xfId="0" applyFont="1" applyFill="1" applyAlignment="1">
      <alignment horizontal="center" vertical="center"/>
    </xf>
    <xf numFmtId="0" fontId="21" fillId="33" borderId="0" xfId="0" applyFont="1" applyFill="1" applyAlignment="1">
      <alignment horizontal="center"/>
    </xf>
    <xf numFmtId="0" fontId="24" fillId="35" borderId="19" xfId="0" applyFont="1" applyFill="1" applyBorder="1" applyAlignment="1">
      <alignment horizontal="center" vertical="center"/>
    </xf>
    <xf numFmtId="0" fontId="24" fillId="35" borderId="15" xfId="0" applyFont="1" applyFill="1" applyBorder="1" applyAlignment="1">
      <alignment horizontal="center" vertical="center"/>
    </xf>
    <xf numFmtId="0" fontId="24" fillId="35" borderId="20" xfId="0" applyFont="1" applyFill="1" applyBorder="1" applyAlignment="1">
      <alignment horizontal="center" vertical="center"/>
    </xf>
    <xf numFmtId="0" fontId="24" fillId="35" borderId="16" xfId="0" applyFont="1" applyFill="1" applyBorder="1" applyAlignment="1">
      <alignment horizontal="center" vertical="center"/>
    </xf>
    <xf numFmtId="0" fontId="24" fillId="35" borderId="21" xfId="0" applyFont="1" applyFill="1" applyBorder="1" applyAlignment="1">
      <alignment horizontal="center" vertical="center"/>
    </xf>
    <xf numFmtId="0" fontId="24" fillId="35" borderId="22" xfId="0" applyFont="1" applyFill="1" applyBorder="1" applyAlignment="1">
      <alignment horizontal="center" vertical="center"/>
    </xf>
    <xf numFmtId="9" fontId="28" fillId="36" borderId="10" xfId="42" applyFont="1" applyFill="1" applyBorder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Percent 2" xfId="43" xr:uid="{3D691092-1F1C-4C1F-B219-887307131F4C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VWAP Chart</a:t>
            </a:r>
          </a:p>
        </c:rich>
      </c:tx>
      <c:layout>
        <c:manualLayout>
          <c:xMode val="edge"/>
          <c:yMode val="edge"/>
          <c:x val="0.41543342887502654"/>
          <c:y val="2.96484556928731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63874872212898"/>
          <c:y val="0.22774955381408707"/>
          <c:w val="0.85245408951256951"/>
          <c:h val="0.4586320389305234"/>
        </c:manualLayout>
      </c:layout>
      <c:lineChart>
        <c:grouping val="standard"/>
        <c:varyColors val="0"/>
        <c:ser>
          <c:idx val="0"/>
          <c:order val="0"/>
          <c:tx>
            <c:strRef>
              <c:f>'Equity-RELIANCE-EQ-26-02-2026-2'!$E$1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'Equity-RELIANCE-EQ-26-02-2026-2'!$A$2:$A$58</c:f>
              <c:numCache>
                <c:formatCode>[$-14009]yyyy/mm/dd;@</c:formatCode>
                <c:ptCount val="57"/>
                <c:pt idx="0">
                  <c:v>46079</c:v>
                </c:pt>
                <c:pt idx="1">
                  <c:v>46080</c:v>
                </c:pt>
                <c:pt idx="2">
                  <c:v>46083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46090</c:v>
                </c:pt>
                <c:pt idx="7">
                  <c:v>46091</c:v>
                </c:pt>
                <c:pt idx="8">
                  <c:v>46092</c:v>
                </c:pt>
                <c:pt idx="9">
                  <c:v>46093</c:v>
                </c:pt>
                <c:pt idx="10">
                  <c:v>46094</c:v>
                </c:pt>
                <c:pt idx="11">
                  <c:v>46097</c:v>
                </c:pt>
                <c:pt idx="12">
                  <c:v>46098</c:v>
                </c:pt>
                <c:pt idx="13">
                  <c:v>46099</c:v>
                </c:pt>
                <c:pt idx="14">
                  <c:v>46100</c:v>
                </c:pt>
                <c:pt idx="15">
                  <c:v>46101</c:v>
                </c:pt>
                <c:pt idx="16">
                  <c:v>46104</c:v>
                </c:pt>
                <c:pt idx="17">
                  <c:v>46105</c:v>
                </c:pt>
                <c:pt idx="18">
                  <c:v>46106</c:v>
                </c:pt>
                <c:pt idx="19">
                  <c:v>46108</c:v>
                </c:pt>
                <c:pt idx="20">
                  <c:v>46111</c:v>
                </c:pt>
                <c:pt idx="21">
                  <c:v>46113</c:v>
                </c:pt>
                <c:pt idx="22">
                  <c:v>46114</c:v>
                </c:pt>
                <c:pt idx="23">
                  <c:v>46118</c:v>
                </c:pt>
                <c:pt idx="24">
                  <c:v>46119</c:v>
                </c:pt>
                <c:pt idx="25">
                  <c:v>46120</c:v>
                </c:pt>
                <c:pt idx="26">
                  <c:v>46121</c:v>
                </c:pt>
                <c:pt idx="27">
                  <c:v>46122</c:v>
                </c:pt>
                <c:pt idx="28">
                  <c:v>46125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46132</c:v>
                </c:pt>
                <c:pt idx="33">
                  <c:v>46133</c:v>
                </c:pt>
                <c:pt idx="34">
                  <c:v>46134</c:v>
                </c:pt>
                <c:pt idx="35">
                  <c:v>46135</c:v>
                </c:pt>
                <c:pt idx="36">
                  <c:v>46136</c:v>
                </c:pt>
                <c:pt idx="37">
                  <c:v>46139</c:v>
                </c:pt>
                <c:pt idx="38">
                  <c:v>46140</c:v>
                </c:pt>
                <c:pt idx="39">
                  <c:v>46141</c:v>
                </c:pt>
                <c:pt idx="40">
                  <c:v>46142</c:v>
                </c:pt>
                <c:pt idx="41">
                  <c:v>46146</c:v>
                </c:pt>
                <c:pt idx="42">
                  <c:v>46147</c:v>
                </c:pt>
                <c:pt idx="43">
                  <c:v>46148</c:v>
                </c:pt>
                <c:pt idx="44">
                  <c:v>46149</c:v>
                </c:pt>
                <c:pt idx="45">
                  <c:v>46150</c:v>
                </c:pt>
                <c:pt idx="46">
                  <c:v>46153</c:v>
                </c:pt>
                <c:pt idx="47">
                  <c:v>46154</c:v>
                </c:pt>
                <c:pt idx="48">
                  <c:v>46155</c:v>
                </c:pt>
                <c:pt idx="49">
                  <c:v>46156</c:v>
                </c:pt>
                <c:pt idx="50">
                  <c:v>46157</c:v>
                </c:pt>
                <c:pt idx="51">
                  <c:v>46160</c:v>
                </c:pt>
                <c:pt idx="52">
                  <c:v>46161</c:v>
                </c:pt>
                <c:pt idx="53">
                  <c:v>46162</c:v>
                </c:pt>
                <c:pt idx="54">
                  <c:v>46163</c:v>
                </c:pt>
                <c:pt idx="55">
                  <c:v>46164</c:v>
                </c:pt>
                <c:pt idx="56">
                  <c:v>46167</c:v>
                </c:pt>
              </c:numCache>
            </c:numRef>
          </c:cat>
          <c:val>
            <c:numRef>
              <c:f>'Equity-RELIANCE-EQ-26-02-2026-2'!$E$2:$E$58</c:f>
              <c:numCache>
                <c:formatCode>#,##0</c:formatCode>
                <c:ptCount val="57"/>
                <c:pt idx="0">
                  <c:v>1407</c:v>
                </c:pt>
                <c:pt idx="1">
                  <c:v>1394</c:v>
                </c:pt>
                <c:pt idx="2">
                  <c:v>1358</c:v>
                </c:pt>
                <c:pt idx="3">
                  <c:v>1345</c:v>
                </c:pt>
                <c:pt idx="4">
                  <c:v>1389</c:v>
                </c:pt>
                <c:pt idx="5">
                  <c:v>1405</c:v>
                </c:pt>
                <c:pt idx="6">
                  <c:v>1424</c:v>
                </c:pt>
                <c:pt idx="7">
                  <c:v>1409</c:v>
                </c:pt>
                <c:pt idx="8">
                  <c:v>1390</c:v>
                </c:pt>
                <c:pt idx="9">
                  <c:v>1392</c:v>
                </c:pt>
                <c:pt idx="10">
                  <c:v>1381</c:v>
                </c:pt>
                <c:pt idx="11">
                  <c:v>1395</c:v>
                </c:pt>
                <c:pt idx="12">
                  <c:v>1398</c:v>
                </c:pt>
                <c:pt idx="13">
                  <c:v>1408</c:v>
                </c:pt>
                <c:pt idx="14">
                  <c:v>1385</c:v>
                </c:pt>
                <c:pt idx="15">
                  <c:v>1414</c:v>
                </c:pt>
                <c:pt idx="16">
                  <c:v>1408</c:v>
                </c:pt>
                <c:pt idx="17">
                  <c:v>1412</c:v>
                </c:pt>
                <c:pt idx="18">
                  <c:v>1413</c:v>
                </c:pt>
                <c:pt idx="19">
                  <c:v>1348</c:v>
                </c:pt>
                <c:pt idx="20">
                  <c:v>1344</c:v>
                </c:pt>
                <c:pt idx="21">
                  <c:v>1369</c:v>
                </c:pt>
                <c:pt idx="22">
                  <c:v>1351</c:v>
                </c:pt>
                <c:pt idx="23">
                  <c:v>1305</c:v>
                </c:pt>
                <c:pt idx="24">
                  <c:v>1305</c:v>
                </c:pt>
                <c:pt idx="25">
                  <c:v>1348</c:v>
                </c:pt>
                <c:pt idx="26">
                  <c:v>1330</c:v>
                </c:pt>
                <c:pt idx="27">
                  <c:v>1350</c:v>
                </c:pt>
                <c:pt idx="28">
                  <c:v>1315</c:v>
                </c:pt>
                <c:pt idx="29">
                  <c:v>1344</c:v>
                </c:pt>
                <c:pt idx="30">
                  <c:v>1343</c:v>
                </c:pt>
                <c:pt idx="31">
                  <c:v>1365</c:v>
                </c:pt>
                <c:pt idx="32">
                  <c:v>1363</c:v>
                </c:pt>
                <c:pt idx="33">
                  <c:v>1353</c:v>
                </c:pt>
                <c:pt idx="34">
                  <c:v>1362</c:v>
                </c:pt>
                <c:pt idx="35">
                  <c:v>1343</c:v>
                </c:pt>
                <c:pt idx="36">
                  <c:v>1328</c:v>
                </c:pt>
                <c:pt idx="37">
                  <c:v>1366</c:v>
                </c:pt>
                <c:pt idx="38">
                  <c:v>1389</c:v>
                </c:pt>
                <c:pt idx="39">
                  <c:v>1425</c:v>
                </c:pt>
                <c:pt idx="40">
                  <c:v>1431</c:v>
                </c:pt>
                <c:pt idx="41">
                  <c:v>1463</c:v>
                </c:pt>
                <c:pt idx="42">
                  <c:v>1464</c:v>
                </c:pt>
                <c:pt idx="43">
                  <c:v>1438</c:v>
                </c:pt>
                <c:pt idx="44">
                  <c:v>1436</c:v>
                </c:pt>
                <c:pt idx="45">
                  <c:v>1435</c:v>
                </c:pt>
                <c:pt idx="46">
                  <c:v>1388</c:v>
                </c:pt>
                <c:pt idx="47">
                  <c:v>1364</c:v>
                </c:pt>
                <c:pt idx="48">
                  <c:v>1359</c:v>
                </c:pt>
                <c:pt idx="49">
                  <c:v>1362</c:v>
                </c:pt>
                <c:pt idx="50">
                  <c:v>1336</c:v>
                </c:pt>
                <c:pt idx="51">
                  <c:v>1336</c:v>
                </c:pt>
                <c:pt idx="52">
                  <c:v>1323</c:v>
                </c:pt>
                <c:pt idx="53">
                  <c:v>1360</c:v>
                </c:pt>
                <c:pt idx="54">
                  <c:v>1350</c:v>
                </c:pt>
                <c:pt idx="55">
                  <c:v>1355</c:v>
                </c:pt>
                <c:pt idx="56">
                  <c:v>1367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5E-4640-B7DE-4ACC00EF17B8}"/>
            </c:ext>
          </c:extLst>
        </c:ser>
        <c:ser>
          <c:idx val="1"/>
          <c:order val="1"/>
          <c:tx>
            <c:strRef>
              <c:f>'Equity-RELIANCE-EQ-26-02-2026-2'!$H$1</c:f>
              <c:strCache>
                <c:ptCount val="1"/>
                <c:pt idx="0">
                  <c:v>VWAP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'Equity-RELIANCE-EQ-26-02-2026-2'!$A$2:$A$58</c:f>
              <c:numCache>
                <c:formatCode>[$-14009]yyyy/mm/dd;@</c:formatCode>
                <c:ptCount val="57"/>
                <c:pt idx="0">
                  <c:v>46079</c:v>
                </c:pt>
                <c:pt idx="1">
                  <c:v>46080</c:v>
                </c:pt>
                <c:pt idx="2">
                  <c:v>46083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46090</c:v>
                </c:pt>
                <c:pt idx="7">
                  <c:v>46091</c:v>
                </c:pt>
                <c:pt idx="8">
                  <c:v>46092</c:v>
                </c:pt>
                <c:pt idx="9">
                  <c:v>46093</c:v>
                </c:pt>
                <c:pt idx="10">
                  <c:v>46094</c:v>
                </c:pt>
                <c:pt idx="11">
                  <c:v>46097</c:v>
                </c:pt>
                <c:pt idx="12">
                  <c:v>46098</c:v>
                </c:pt>
                <c:pt idx="13">
                  <c:v>46099</c:v>
                </c:pt>
                <c:pt idx="14">
                  <c:v>46100</c:v>
                </c:pt>
                <c:pt idx="15">
                  <c:v>46101</c:v>
                </c:pt>
                <c:pt idx="16">
                  <c:v>46104</c:v>
                </c:pt>
                <c:pt idx="17">
                  <c:v>46105</c:v>
                </c:pt>
                <c:pt idx="18">
                  <c:v>46106</c:v>
                </c:pt>
                <c:pt idx="19">
                  <c:v>46108</c:v>
                </c:pt>
                <c:pt idx="20">
                  <c:v>46111</c:v>
                </c:pt>
                <c:pt idx="21">
                  <c:v>46113</c:v>
                </c:pt>
                <c:pt idx="22">
                  <c:v>46114</c:v>
                </c:pt>
                <c:pt idx="23">
                  <c:v>46118</c:v>
                </c:pt>
                <c:pt idx="24">
                  <c:v>46119</c:v>
                </c:pt>
                <c:pt idx="25">
                  <c:v>46120</c:v>
                </c:pt>
                <c:pt idx="26">
                  <c:v>46121</c:v>
                </c:pt>
                <c:pt idx="27">
                  <c:v>46122</c:v>
                </c:pt>
                <c:pt idx="28">
                  <c:v>46125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46132</c:v>
                </c:pt>
                <c:pt idx="33">
                  <c:v>46133</c:v>
                </c:pt>
                <c:pt idx="34">
                  <c:v>46134</c:v>
                </c:pt>
                <c:pt idx="35">
                  <c:v>46135</c:v>
                </c:pt>
                <c:pt idx="36">
                  <c:v>46136</c:v>
                </c:pt>
                <c:pt idx="37">
                  <c:v>46139</c:v>
                </c:pt>
                <c:pt idx="38">
                  <c:v>46140</c:v>
                </c:pt>
                <c:pt idx="39">
                  <c:v>46141</c:v>
                </c:pt>
                <c:pt idx="40">
                  <c:v>46142</c:v>
                </c:pt>
                <c:pt idx="41">
                  <c:v>46146</c:v>
                </c:pt>
                <c:pt idx="42">
                  <c:v>46147</c:v>
                </c:pt>
                <c:pt idx="43">
                  <c:v>46148</c:v>
                </c:pt>
                <c:pt idx="44">
                  <c:v>46149</c:v>
                </c:pt>
                <c:pt idx="45">
                  <c:v>46150</c:v>
                </c:pt>
                <c:pt idx="46">
                  <c:v>46153</c:v>
                </c:pt>
                <c:pt idx="47">
                  <c:v>46154</c:v>
                </c:pt>
                <c:pt idx="48">
                  <c:v>46155</c:v>
                </c:pt>
                <c:pt idx="49">
                  <c:v>46156</c:v>
                </c:pt>
                <c:pt idx="50">
                  <c:v>46157</c:v>
                </c:pt>
                <c:pt idx="51">
                  <c:v>46160</c:v>
                </c:pt>
                <c:pt idx="52">
                  <c:v>46161</c:v>
                </c:pt>
                <c:pt idx="53">
                  <c:v>46162</c:v>
                </c:pt>
                <c:pt idx="54">
                  <c:v>46163</c:v>
                </c:pt>
                <c:pt idx="55">
                  <c:v>46164</c:v>
                </c:pt>
                <c:pt idx="56">
                  <c:v>46167</c:v>
                </c:pt>
              </c:numCache>
            </c:numRef>
          </c:cat>
          <c:val>
            <c:numRef>
              <c:f>'Equity-RELIANCE-EQ-26-02-2026-2'!$H$2:$H$58</c:f>
              <c:numCache>
                <c:formatCode>#,##0</c:formatCode>
                <c:ptCount val="57"/>
                <c:pt idx="0">
                  <c:v>1404</c:v>
                </c:pt>
                <c:pt idx="1">
                  <c:v>1397</c:v>
                </c:pt>
                <c:pt idx="2">
                  <c:v>1358</c:v>
                </c:pt>
                <c:pt idx="3">
                  <c:v>1335</c:v>
                </c:pt>
                <c:pt idx="4">
                  <c:v>1383</c:v>
                </c:pt>
                <c:pt idx="5">
                  <c:v>1413</c:v>
                </c:pt>
                <c:pt idx="6">
                  <c:v>1404</c:v>
                </c:pt>
                <c:pt idx="7">
                  <c:v>1411</c:v>
                </c:pt>
                <c:pt idx="8">
                  <c:v>1403</c:v>
                </c:pt>
                <c:pt idx="9">
                  <c:v>1398</c:v>
                </c:pt>
                <c:pt idx="10">
                  <c:v>1388</c:v>
                </c:pt>
                <c:pt idx="11">
                  <c:v>1385</c:v>
                </c:pt>
                <c:pt idx="12">
                  <c:v>1398</c:v>
                </c:pt>
                <c:pt idx="13">
                  <c:v>1409</c:v>
                </c:pt>
                <c:pt idx="14">
                  <c:v>1395</c:v>
                </c:pt>
                <c:pt idx="15">
                  <c:v>1419</c:v>
                </c:pt>
                <c:pt idx="16">
                  <c:v>1404</c:v>
                </c:pt>
                <c:pt idx="17">
                  <c:v>1413</c:v>
                </c:pt>
                <c:pt idx="18">
                  <c:v>1419</c:v>
                </c:pt>
                <c:pt idx="19">
                  <c:v>1360</c:v>
                </c:pt>
                <c:pt idx="20">
                  <c:v>1347</c:v>
                </c:pt>
                <c:pt idx="21">
                  <c:v>1372</c:v>
                </c:pt>
                <c:pt idx="22">
                  <c:v>1347</c:v>
                </c:pt>
                <c:pt idx="23">
                  <c:v>1306</c:v>
                </c:pt>
                <c:pt idx="24">
                  <c:v>1299</c:v>
                </c:pt>
                <c:pt idx="25">
                  <c:v>1343</c:v>
                </c:pt>
                <c:pt idx="26">
                  <c:v>1333</c:v>
                </c:pt>
                <c:pt idx="27">
                  <c:v>1347</c:v>
                </c:pt>
                <c:pt idx="28">
                  <c:v>1316</c:v>
                </c:pt>
                <c:pt idx="29">
                  <c:v>1340</c:v>
                </c:pt>
                <c:pt idx="30">
                  <c:v>1338</c:v>
                </c:pt>
                <c:pt idx="31">
                  <c:v>1359</c:v>
                </c:pt>
                <c:pt idx="32">
                  <c:v>1366</c:v>
                </c:pt>
                <c:pt idx="33">
                  <c:v>1357</c:v>
                </c:pt>
                <c:pt idx="34">
                  <c:v>1360</c:v>
                </c:pt>
                <c:pt idx="35">
                  <c:v>1348</c:v>
                </c:pt>
                <c:pt idx="36">
                  <c:v>1333</c:v>
                </c:pt>
                <c:pt idx="37">
                  <c:v>1346</c:v>
                </c:pt>
                <c:pt idx="38">
                  <c:v>1380</c:v>
                </c:pt>
                <c:pt idx="39">
                  <c:v>1418</c:v>
                </c:pt>
                <c:pt idx="40">
                  <c:v>1416</c:v>
                </c:pt>
                <c:pt idx="41">
                  <c:v>1454</c:v>
                </c:pt>
                <c:pt idx="42">
                  <c:v>1461</c:v>
                </c:pt>
                <c:pt idx="43">
                  <c:v>1444</c:v>
                </c:pt>
                <c:pt idx="44">
                  <c:v>1439</c:v>
                </c:pt>
                <c:pt idx="45">
                  <c:v>1428</c:v>
                </c:pt>
                <c:pt idx="46">
                  <c:v>1403</c:v>
                </c:pt>
                <c:pt idx="47">
                  <c:v>1376</c:v>
                </c:pt>
                <c:pt idx="48">
                  <c:v>1361</c:v>
                </c:pt>
                <c:pt idx="49">
                  <c:v>1366</c:v>
                </c:pt>
                <c:pt idx="50">
                  <c:v>1339</c:v>
                </c:pt>
                <c:pt idx="51">
                  <c:v>1333</c:v>
                </c:pt>
                <c:pt idx="52">
                  <c:v>1332</c:v>
                </c:pt>
                <c:pt idx="53">
                  <c:v>1345</c:v>
                </c:pt>
                <c:pt idx="54">
                  <c:v>1353</c:v>
                </c:pt>
                <c:pt idx="55">
                  <c:v>1357</c:v>
                </c:pt>
                <c:pt idx="56">
                  <c:v>1363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5E-4640-B7DE-4ACC00EF1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1564864"/>
        <c:axId val="1821561024"/>
      </c:lineChart>
      <c:dateAx>
        <c:axId val="1821564864"/>
        <c:scaling>
          <c:orientation val="minMax"/>
        </c:scaling>
        <c:delete val="0"/>
        <c:axPos val="b"/>
        <c:numFmt formatCode="[$-14009]yyyy/mm/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561024"/>
        <c:crosses val="autoZero"/>
        <c:auto val="0"/>
        <c:lblOffset val="100"/>
        <c:baseTimeUnit val="days"/>
      </c:dateAx>
      <c:valAx>
        <c:axId val="1821561024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564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CC"/>
    </a:solidFill>
    <a:ln w="2857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Volume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'Equity-RELIANCE-EQ-26-02-2026-2'!$A$2:$A$58</c:f>
              <c:numCache>
                <c:formatCode>[$-14009]yyyy/mm/dd;@</c:formatCode>
                <c:ptCount val="57"/>
                <c:pt idx="0">
                  <c:v>46079</c:v>
                </c:pt>
                <c:pt idx="1">
                  <c:v>46080</c:v>
                </c:pt>
                <c:pt idx="2">
                  <c:v>46083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46090</c:v>
                </c:pt>
                <c:pt idx="7">
                  <c:v>46091</c:v>
                </c:pt>
                <c:pt idx="8">
                  <c:v>46092</c:v>
                </c:pt>
                <c:pt idx="9">
                  <c:v>46093</c:v>
                </c:pt>
                <c:pt idx="10">
                  <c:v>46094</c:v>
                </c:pt>
                <c:pt idx="11">
                  <c:v>46097</c:v>
                </c:pt>
                <c:pt idx="12">
                  <c:v>46098</c:v>
                </c:pt>
                <c:pt idx="13">
                  <c:v>46099</c:v>
                </c:pt>
                <c:pt idx="14">
                  <c:v>46100</c:v>
                </c:pt>
                <c:pt idx="15">
                  <c:v>46101</c:v>
                </c:pt>
                <c:pt idx="16">
                  <c:v>46104</c:v>
                </c:pt>
                <c:pt idx="17">
                  <c:v>46105</c:v>
                </c:pt>
                <c:pt idx="18">
                  <c:v>46106</c:v>
                </c:pt>
                <c:pt idx="19">
                  <c:v>46108</c:v>
                </c:pt>
                <c:pt idx="20">
                  <c:v>46111</c:v>
                </c:pt>
                <c:pt idx="21">
                  <c:v>46113</c:v>
                </c:pt>
                <c:pt idx="22">
                  <c:v>46114</c:v>
                </c:pt>
                <c:pt idx="23">
                  <c:v>46118</c:v>
                </c:pt>
                <c:pt idx="24">
                  <c:v>46119</c:v>
                </c:pt>
                <c:pt idx="25">
                  <c:v>46120</c:v>
                </c:pt>
                <c:pt idx="26">
                  <c:v>46121</c:v>
                </c:pt>
                <c:pt idx="27">
                  <c:v>46122</c:v>
                </c:pt>
                <c:pt idx="28">
                  <c:v>46125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46132</c:v>
                </c:pt>
                <c:pt idx="33">
                  <c:v>46133</c:v>
                </c:pt>
                <c:pt idx="34">
                  <c:v>46134</c:v>
                </c:pt>
                <c:pt idx="35">
                  <c:v>46135</c:v>
                </c:pt>
                <c:pt idx="36">
                  <c:v>46136</c:v>
                </c:pt>
                <c:pt idx="37">
                  <c:v>46139</c:v>
                </c:pt>
                <c:pt idx="38">
                  <c:v>46140</c:v>
                </c:pt>
                <c:pt idx="39">
                  <c:v>46141</c:v>
                </c:pt>
                <c:pt idx="40">
                  <c:v>46142</c:v>
                </c:pt>
                <c:pt idx="41">
                  <c:v>46146</c:v>
                </c:pt>
                <c:pt idx="42">
                  <c:v>46147</c:v>
                </c:pt>
                <c:pt idx="43">
                  <c:v>46148</c:v>
                </c:pt>
                <c:pt idx="44">
                  <c:v>46149</c:v>
                </c:pt>
                <c:pt idx="45">
                  <c:v>46150</c:v>
                </c:pt>
                <c:pt idx="46">
                  <c:v>46153</c:v>
                </c:pt>
                <c:pt idx="47">
                  <c:v>46154</c:v>
                </c:pt>
                <c:pt idx="48">
                  <c:v>46155</c:v>
                </c:pt>
                <c:pt idx="49">
                  <c:v>46156</c:v>
                </c:pt>
                <c:pt idx="50">
                  <c:v>46157</c:v>
                </c:pt>
                <c:pt idx="51">
                  <c:v>46160</c:v>
                </c:pt>
                <c:pt idx="52">
                  <c:v>46161</c:v>
                </c:pt>
                <c:pt idx="53">
                  <c:v>46162</c:v>
                </c:pt>
                <c:pt idx="54">
                  <c:v>46163</c:v>
                </c:pt>
                <c:pt idx="55">
                  <c:v>46164</c:v>
                </c:pt>
                <c:pt idx="56">
                  <c:v>46167</c:v>
                </c:pt>
              </c:numCache>
            </c:numRef>
          </c:cat>
          <c:val>
            <c:numRef>
              <c:f>'Equity-RELIANCE-EQ-26-02-2026-2'!$K$2:$K$58</c:f>
              <c:numCache>
                <c:formatCode>#,##0</c:formatCode>
                <c:ptCount val="57"/>
                <c:pt idx="0">
                  <c:v>16683858</c:v>
                </c:pt>
                <c:pt idx="1">
                  <c:v>12031440</c:v>
                </c:pt>
                <c:pt idx="2">
                  <c:v>23728722</c:v>
                </c:pt>
                <c:pt idx="3">
                  <c:v>32495007</c:v>
                </c:pt>
                <c:pt idx="4">
                  <c:v>25957532</c:v>
                </c:pt>
                <c:pt idx="5">
                  <c:v>19311971</c:v>
                </c:pt>
                <c:pt idx="6">
                  <c:v>24870822</c:v>
                </c:pt>
                <c:pt idx="7">
                  <c:v>18071259</c:v>
                </c:pt>
                <c:pt idx="8">
                  <c:v>21848087</c:v>
                </c:pt>
                <c:pt idx="9">
                  <c:v>20939959</c:v>
                </c:pt>
                <c:pt idx="10">
                  <c:v>17265090</c:v>
                </c:pt>
                <c:pt idx="11">
                  <c:v>22837802</c:v>
                </c:pt>
                <c:pt idx="12">
                  <c:v>19007744</c:v>
                </c:pt>
                <c:pt idx="13">
                  <c:v>9559327</c:v>
                </c:pt>
                <c:pt idx="14">
                  <c:v>16498373</c:v>
                </c:pt>
                <c:pt idx="15">
                  <c:v>22994918</c:v>
                </c:pt>
                <c:pt idx="16">
                  <c:v>18979554</c:v>
                </c:pt>
                <c:pt idx="17">
                  <c:v>18620893</c:v>
                </c:pt>
                <c:pt idx="18">
                  <c:v>19041331</c:v>
                </c:pt>
                <c:pt idx="19">
                  <c:v>23266517</c:v>
                </c:pt>
                <c:pt idx="20">
                  <c:v>24393861</c:v>
                </c:pt>
                <c:pt idx="21">
                  <c:v>14404619</c:v>
                </c:pt>
                <c:pt idx="22">
                  <c:v>21280051</c:v>
                </c:pt>
                <c:pt idx="23">
                  <c:v>29274881</c:v>
                </c:pt>
                <c:pt idx="24">
                  <c:v>28388922</c:v>
                </c:pt>
                <c:pt idx="25">
                  <c:v>21817543</c:v>
                </c:pt>
                <c:pt idx="26">
                  <c:v>20725390</c:v>
                </c:pt>
                <c:pt idx="27">
                  <c:v>19364461</c:v>
                </c:pt>
                <c:pt idx="28">
                  <c:v>28753269</c:v>
                </c:pt>
                <c:pt idx="29">
                  <c:v>15313779</c:v>
                </c:pt>
                <c:pt idx="30">
                  <c:v>30211012</c:v>
                </c:pt>
                <c:pt idx="31">
                  <c:v>13869105</c:v>
                </c:pt>
                <c:pt idx="32">
                  <c:v>13614733</c:v>
                </c:pt>
                <c:pt idx="33">
                  <c:v>27293629</c:v>
                </c:pt>
                <c:pt idx="34">
                  <c:v>9525953</c:v>
                </c:pt>
                <c:pt idx="35">
                  <c:v>16385079</c:v>
                </c:pt>
                <c:pt idx="36">
                  <c:v>11744802</c:v>
                </c:pt>
                <c:pt idx="37">
                  <c:v>24673098</c:v>
                </c:pt>
                <c:pt idx="38">
                  <c:v>41027699</c:v>
                </c:pt>
                <c:pt idx="39">
                  <c:v>30542143</c:v>
                </c:pt>
                <c:pt idx="40">
                  <c:v>30957881</c:v>
                </c:pt>
                <c:pt idx="41">
                  <c:v>24035700</c:v>
                </c:pt>
                <c:pt idx="42">
                  <c:v>23543341</c:v>
                </c:pt>
                <c:pt idx="43">
                  <c:v>14221786</c:v>
                </c:pt>
                <c:pt idx="44">
                  <c:v>19816903</c:v>
                </c:pt>
                <c:pt idx="45">
                  <c:v>8663105</c:v>
                </c:pt>
                <c:pt idx="46">
                  <c:v>15261787</c:v>
                </c:pt>
                <c:pt idx="47">
                  <c:v>24357500</c:v>
                </c:pt>
                <c:pt idx="48">
                  <c:v>13797989</c:v>
                </c:pt>
                <c:pt idx="49">
                  <c:v>17303059</c:v>
                </c:pt>
                <c:pt idx="50">
                  <c:v>19976192</c:v>
                </c:pt>
                <c:pt idx="51">
                  <c:v>13022473</c:v>
                </c:pt>
                <c:pt idx="52">
                  <c:v>21665501</c:v>
                </c:pt>
                <c:pt idx="53">
                  <c:v>13248515</c:v>
                </c:pt>
                <c:pt idx="54">
                  <c:v>17150630</c:v>
                </c:pt>
                <c:pt idx="55">
                  <c:v>7105813</c:v>
                </c:pt>
                <c:pt idx="56">
                  <c:v>6750071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8C95-4659-8A9E-A54504B8C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60984080"/>
        <c:axId val="1760985520"/>
      </c:barChart>
      <c:dateAx>
        <c:axId val="1760984080"/>
        <c:scaling>
          <c:orientation val="minMax"/>
        </c:scaling>
        <c:delete val="0"/>
        <c:axPos val="b"/>
        <c:numFmt formatCode="[$-14009]yyyy/mm/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985520"/>
        <c:crosses val="autoZero"/>
        <c:auto val="1"/>
        <c:lblOffset val="100"/>
        <c:baseTimeUnit val="days"/>
      </c:dateAx>
      <c:valAx>
        <c:axId val="176098552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984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285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DATE vs CLOSE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'Equity-RELIANCE-EQ-26-02-2026-2'!$E$1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'Equity-RELIANCE-EQ-26-02-2026-2'!$A$2:$A$58</c:f>
              <c:numCache>
                <c:formatCode>[$-14009]yyyy/mm/dd;@</c:formatCode>
                <c:ptCount val="57"/>
                <c:pt idx="0">
                  <c:v>46079</c:v>
                </c:pt>
                <c:pt idx="1">
                  <c:v>46080</c:v>
                </c:pt>
                <c:pt idx="2">
                  <c:v>46083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46090</c:v>
                </c:pt>
                <c:pt idx="7">
                  <c:v>46091</c:v>
                </c:pt>
                <c:pt idx="8">
                  <c:v>46092</c:v>
                </c:pt>
                <c:pt idx="9">
                  <c:v>46093</c:v>
                </c:pt>
                <c:pt idx="10">
                  <c:v>46094</c:v>
                </c:pt>
                <c:pt idx="11">
                  <c:v>46097</c:v>
                </c:pt>
                <c:pt idx="12">
                  <c:v>46098</c:v>
                </c:pt>
                <c:pt idx="13">
                  <c:v>46099</c:v>
                </c:pt>
                <c:pt idx="14">
                  <c:v>46100</c:v>
                </c:pt>
                <c:pt idx="15">
                  <c:v>46101</c:v>
                </c:pt>
                <c:pt idx="16">
                  <c:v>46104</c:v>
                </c:pt>
                <c:pt idx="17">
                  <c:v>46105</c:v>
                </c:pt>
                <c:pt idx="18">
                  <c:v>46106</c:v>
                </c:pt>
                <c:pt idx="19">
                  <c:v>46108</c:v>
                </c:pt>
                <c:pt idx="20">
                  <c:v>46111</c:v>
                </c:pt>
                <c:pt idx="21">
                  <c:v>46113</c:v>
                </c:pt>
                <c:pt idx="22">
                  <c:v>46114</c:v>
                </c:pt>
                <c:pt idx="23">
                  <c:v>46118</c:v>
                </c:pt>
                <c:pt idx="24">
                  <c:v>46119</c:v>
                </c:pt>
                <c:pt idx="25">
                  <c:v>46120</c:v>
                </c:pt>
                <c:pt idx="26">
                  <c:v>46121</c:v>
                </c:pt>
                <c:pt idx="27">
                  <c:v>46122</c:v>
                </c:pt>
                <c:pt idx="28">
                  <c:v>46125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46132</c:v>
                </c:pt>
                <c:pt idx="33">
                  <c:v>46133</c:v>
                </c:pt>
                <c:pt idx="34">
                  <c:v>46134</c:v>
                </c:pt>
                <c:pt idx="35">
                  <c:v>46135</c:v>
                </c:pt>
                <c:pt idx="36">
                  <c:v>46136</c:v>
                </c:pt>
                <c:pt idx="37">
                  <c:v>46139</c:v>
                </c:pt>
                <c:pt idx="38">
                  <c:v>46140</c:v>
                </c:pt>
                <c:pt idx="39">
                  <c:v>46141</c:v>
                </c:pt>
                <c:pt idx="40">
                  <c:v>46142</c:v>
                </c:pt>
                <c:pt idx="41">
                  <c:v>46146</c:v>
                </c:pt>
                <c:pt idx="42">
                  <c:v>46147</c:v>
                </c:pt>
                <c:pt idx="43">
                  <c:v>46148</c:v>
                </c:pt>
                <c:pt idx="44">
                  <c:v>46149</c:v>
                </c:pt>
                <c:pt idx="45">
                  <c:v>46150</c:v>
                </c:pt>
                <c:pt idx="46">
                  <c:v>46153</c:v>
                </c:pt>
                <c:pt idx="47">
                  <c:v>46154</c:v>
                </c:pt>
                <c:pt idx="48">
                  <c:v>46155</c:v>
                </c:pt>
                <c:pt idx="49">
                  <c:v>46156</c:v>
                </c:pt>
                <c:pt idx="50">
                  <c:v>46157</c:v>
                </c:pt>
                <c:pt idx="51">
                  <c:v>46160</c:v>
                </c:pt>
                <c:pt idx="52">
                  <c:v>46161</c:v>
                </c:pt>
                <c:pt idx="53">
                  <c:v>46162</c:v>
                </c:pt>
                <c:pt idx="54">
                  <c:v>46163</c:v>
                </c:pt>
                <c:pt idx="55">
                  <c:v>46164</c:v>
                </c:pt>
                <c:pt idx="56">
                  <c:v>46167</c:v>
                </c:pt>
              </c:numCache>
            </c:numRef>
          </c:cat>
          <c:val>
            <c:numRef>
              <c:f>'Equity-RELIANCE-EQ-26-02-2026-2'!$E$2:$E$58</c:f>
              <c:numCache>
                <c:formatCode>#,##0</c:formatCode>
                <c:ptCount val="57"/>
                <c:pt idx="0">
                  <c:v>1407</c:v>
                </c:pt>
                <c:pt idx="1">
                  <c:v>1394</c:v>
                </c:pt>
                <c:pt idx="2">
                  <c:v>1358</c:v>
                </c:pt>
                <c:pt idx="3">
                  <c:v>1345</c:v>
                </c:pt>
                <c:pt idx="4">
                  <c:v>1389</c:v>
                </c:pt>
                <c:pt idx="5">
                  <c:v>1405</c:v>
                </c:pt>
                <c:pt idx="6">
                  <c:v>1424</c:v>
                </c:pt>
                <c:pt idx="7">
                  <c:v>1409</c:v>
                </c:pt>
                <c:pt idx="8">
                  <c:v>1390</c:v>
                </c:pt>
                <c:pt idx="9">
                  <c:v>1392</c:v>
                </c:pt>
                <c:pt idx="10">
                  <c:v>1381</c:v>
                </c:pt>
                <c:pt idx="11">
                  <c:v>1395</c:v>
                </c:pt>
                <c:pt idx="12">
                  <c:v>1398</c:v>
                </c:pt>
                <c:pt idx="13">
                  <c:v>1408</c:v>
                </c:pt>
                <c:pt idx="14">
                  <c:v>1385</c:v>
                </c:pt>
                <c:pt idx="15">
                  <c:v>1414</c:v>
                </c:pt>
                <c:pt idx="16">
                  <c:v>1408</c:v>
                </c:pt>
                <c:pt idx="17">
                  <c:v>1412</c:v>
                </c:pt>
                <c:pt idx="18">
                  <c:v>1413</c:v>
                </c:pt>
                <c:pt idx="19">
                  <c:v>1348</c:v>
                </c:pt>
                <c:pt idx="20">
                  <c:v>1344</c:v>
                </c:pt>
                <c:pt idx="21">
                  <c:v>1369</c:v>
                </c:pt>
                <c:pt idx="22">
                  <c:v>1351</c:v>
                </c:pt>
                <c:pt idx="23">
                  <c:v>1305</c:v>
                </c:pt>
                <c:pt idx="24">
                  <c:v>1305</c:v>
                </c:pt>
                <c:pt idx="25">
                  <c:v>1348</c:v>
                </c:pt>
                <c:pt idx="26">
                  <c:v>1330</c:v>
                </c:pt>
                <c:pt idx="27">
                  <c:v>1350</c:v>
                </c:pt>
                <c:pt idx="28">
                  <c:v>1315</c:v>
                </c:pt>
                <c:pt idx="29">
                  <c:v>1344</c:v>
                </c:pt>
                <c:pt idx="30">
                  <c:v>1343</c:v>
                </c:pt>
                <c:pt idx="31">
                  <c:v>1365</c:v>
                </c:pt>
                <c:pt idx="32">
                  <c:v>1363</c:v>
                </c:pt>
                <c:pt idx="33">
                  <c:v>1353</c:v>
                </c:pt>
                <c:pt idx="34">
                  <c:v>1362</c:v>
                </c:pt>
                <c:pt idx="35">
                  <c:v>1343</c:v>
                </c:pt>
                <c:pt idx="36">
                  <c:v>1328</c:v>
                </c:pt>
                <c:pt idx="37">
                  <c:v>1366</c:v>
                </c:pt>
                <c:pt idx="38">
                  <c:v>1389</c:v>
                </c:pt>
                <c:pt idx="39">
                  <c:v>1425</c:v>
                </c:pt>
                <c:pt idx="40">
                  <c:v>1431</c:v>
                </c:pt>
                <c:pt idx="41">
                  <c:v>1463</c:v>
                </c:pt>
                <c:pt idx="42">
                  <c:v>1464</c:v>
                </c:pt>
                <c:pt idx="43">
                  <c:v>1438</c:v>
                </c:pt>
                <c:pt idx="44">
                  <c:v>1436</c:v>
                </c:pt>
                <c:pt idx="45">
                  <c:v>1435</c:v>
                </c:pt>
                <c:pt idx="46">
                  <c:v>1388</c:v>
                </c:pt>
                <c:pt idx="47">
                  <c:v>1364</c:v>
                </c:pt>
                <c:pt idx="48">
                  <c:v>1359</c:v>
                </c:pt>
                <c:pt idx="49">
                  <c:v>1362</c:v>
                </c:pt>
                <c:pt idx="50">
                  <c:v>1336</c:v>
                </c:pt>
                <c:pt idx="51">
                  <c:v>1336</c:v>
                </c:pt>
                <c:pt idx="52">
                  <c:v>1323</c:v>
                </c:pt>
                <c:pt idx="53">
                  <c:v>1360</c:v>
                </c:pt>
                <c:pt idx="54">
                  <c:v>1350</c:v>
                </c:pt>
                <c:pt idx="55">
                  <c:v>1355</c:v>
                </c:pt>
                <c:pt idx="56">
                  <c:v>1367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08-4BB2-A6D6-EF34DB181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9360911"/>
        <c:axId val="339361391"/>
      </c:lineChart>
      <c:dateAx>
        <c:axId val="339360911"/>
        <c:scaling>
          <c:orientation val="minMax"/>
        </c:scaling>
        <c:delete val="0"/>
        <c:axPos val="b"/>
        <c:numFmt formatCode="[$-14009]yyyy/mm/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361391"/>
        <c:crosses val="autoZero"/>
        <c:auto val="1"/>
        <c:lblOffset val="100"/>
        <c:baseTimeUnit val="days"/>
      </c:dateAx>
      <c:valAx>
        <c:axId val="339361391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360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285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443802</xdr:colOff>
      <xdr:row>13</xdr:row>
      <xdr:rowOff>175846</xdr:rowOff>
    </xdr:from>
    <xdr:to>
      <xdr:col>15</xdr:col>
      <xdr:colOff>175846</xdr:colOff>
      <xdr:row>28</xdr:row>
      <xdr:rowOff>142352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DC723A-9B13-4E64-A7BF-08FCFCE507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192594</xdr:colOff>
      <xdr:row>2</xdr:row>
      <xdr:rowOff>142353</xdr:rowOff>
    </xdr:from>
    <xdr:to>
      <xdr:col>15</xdr:col>
      <xdr:colOff>436352</xdr:colOff>
      <xdr:row>12</xdr:row>
      <xdr:rowOff>33494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1CC52C-EC25-4286-9B45-E536F98424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535909</xdr:colOff>
      <xdr:row>2</xdr:row>
      <xdr:rowOff>75364</xdr:rowOff>
    </xdr:from>
    <xdr:to>
      <xdr:col>4</xdr:col>
      <xdr:colOff>33494</xdr:colOff>
      <xdr:row>13</xdr:row>
      <xdr:rowOff>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683E5C6-1851-0F9E-6795-8A0DD485A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5909" y="678265"/>
          <a:ext cx="3416442" cy="2277627"/>
        </a:xfrm>
        <a:prstGeom prst="rect">
          <a:avLst/>
        </a:prstGeom>
      </xdr:spPr>
    </xdr:pic>
    <xdr:clientData/>
  </xdr:twoCellAnchor>
  <xdr:twoCellAnchor>
    <xdr:from>
      <xdr:col>0</xdr:col>
      <xdr:colOff>519165</xdr:colOff>
      <xdr:row>13</xdr:row>
      <xdr:rowOff>167474</xdr:rowOff>
    </xdr:from>
    <xdr:to>
      <xdr:col>6</xdr:col>
      <xdr:colOff>58616</xdr:colOff>
      <xdr:row>28</xdr:row>
      <xdr:rowOff>72015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A466500-DCE1-48AC-B9D2-61D28CDFDC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E996D-805D-4F6D-9AA3-B519E0C3B6A8}">
  <dimension ref="A1:O58"/>
  <sheetViews>
    <sheetView workbookViewId="0">
      <selection activeCell="B8" sqref="A1:M58"/>
    </sheetView>
  </sheetViews>
  <sheetFormatPr defaultRowHeight="14.4" x14ac:dyDescent="0.3"/>
  <cols>
    <col min="1" max="1" width="10.33203125" style="4" bestFit="1" customWidth="1"/>
    <col min="6" max="6" width="11.6640625" bestFit="1" customWidth="1"/>
    <col min="11" max="11" width="10.6640625" bestFit="1" customWidth="1"/>
    <col min="12" max="12" width="14.33203125" bestFit="1" customWidth="1"/>
    <col min="13" max="13" width="14" bestFit="1" customWidth="1"/>
  </cols>
  <sheetData>
    <row r="1" spans="1:15" x14ac:dyDescent="0.3">
      <c r="A1" s="26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8" t="s">
        <v>12</v>
      </c>
    </row>
    <row r="2" spans="1:15" x14ac:dyDescent="0.3">
      <c r="A2" s="29">
        <v>46079</v>
      </c>
      <c r="B2" s="6">
        <v>1399</v>
      </c>
      <c r="C2" s="6">
        <v>1413</v>
      </c>
      <c r="D2" s="6">
        <v>1392</v>
      </c>
      <c r="E2" s="6">
        <v>1407</v>
      </c>
      <c r="F2" s="6">
        <v>1399</v>
      </c>
      <c r="G2" s="6">
        <v>1409</v>
      </c>
      <c r="H2" s="6">
        <v>1404</v>
      </c>
      <c r="I2" s="6">
        <v>1612</v>
      </c>
      <c r="J2" s="6">
        <v>1115</v>
      </c>
      <c r="K2" s="6">
        <v>16683858</v>
      </c>
      <c r="L2" s="6">
        <v>23424295897</v>
      </c>
      <c r="M2" s="30">
        <v>242404</v>
      </c>
    </row>
    <row r="3" spans="1:15" x14ac:dyDescent="0.3">
      <c r="A3" s="29">
        <v>46080</v>
      </c>
      <c r="B3" s="6">
        <v>1398</v>
      </c>
      <c r="C3" s="6">
        <v>1410</v>
      </c>
      <c r="D3" s="6">
        <v>1388</v>
      </c>
      <c r="E3" s="6">
        <v>1394</v>
      </c>
      <c r="F3" s="6">
        <v>1407</v>
      </c>
      <c r="G3" s="6">
        <v>1395</v>
      </c>
      <c r="H3" s="6">
        <v>1397</v>
      </c>
      <c r="I3" s="6">
        <v>1612</v>
      </c>
      <c r="J3" s="6">
        <v>1115</v>
      </c>
      <c r="K3" s="6">
        <v>12031440</v>
      </c>
      <c r="L3" s="6">
        <v>16813512507</v>
      </c>
      <c r="M3" s="30">
        <v>195405</v>
      </c>
    </row>
    <row r="4" spans="1:15" x14ac:dyDescent="0.3">
      <c r="A4" s="29">
        <v>46083</v>
      </c>
      <c r="B4" s="6">
        <v>1376</v>
      </c>
      <c r="C4" s="6">
        <v>1379</v>
      </c>
      <c r="D4" s="6">
        <v>1342</v>
      </c>
      <c r="E4" s="6">
        <v>1358</v>
      </c>
      <c r="F4" s="6">
        <v>1394</v>
      </c>
      <c r="G4" s="6">
        <v>1360</v>
      </c>
      <c r="H4" s="6">
        <v>1358</v>
      </c>
      <c r="I4" s="6">
        <v>1612</v>
      </c>
      <c r="J4" s="6">
        <v>1115</v>
      </c>
      <c r="K4" s="6">
        <v>23728722</v>
      </c>
      <c r="L4" s="6">
        <v>32228124370</v>
      </c>
      <c r="M4" s="30">
        <v>384813</v>
      </c>
      <c r="O4" s="1"/>
    </row>
    <row r="5" spans="1:15" x14ac:dyDescent="0.3">
      <c r="A5" s="29">
        <v>46085</v>
      </c>
      <c r="B5" s="6">
        <v>1330</v>
      </c>
      <c r="C5" s="6">
        <v>1353</v>
      </c>
      <c r="D5" s="6">
        <v>1307</v>
      </c>
      <c r="E5" s="6">
        <v>1345</v>
      </c>
      <c r="F5" s="6">
        <v>1358</v>
      </c>
      <c r="G5" s="6">
        <v>1345</v>
      </c>
      <c r="H5" s="6">
        <v>1335</v>
      </c>
      <c r="I5" s="6">
        <v>1612</v>
      </c>
      <c r="J5" s="6">
        <v>1115</v>
      </c>
      <c r="K5" s="6">
        <v>32495007</v>
      </c>
      <c r="L5" s="6">
        <v>43367943821</v>
      </c>
      <c r="M5" s="30">
        <v>643399</v>
      </c>
      <c r="O5" s="1"/>
    </row>
    <row r="6" spans="1:15" x14ac:dyDescent="0.3">
      <c r="A6" s="29">
        <v>46086</v>
      </c>
      <c r="B6" s="6">
        <v>1353</v>
      </c>
      <c r="C6" s="6">
        <v>1399</v>
      </c>
      <c r="D6" s="6">
        <v>1353</v>
      </c>
      <c r="E6" s="6">
        <v>1389</v>
      </c>
      <c r="F6" s="6">
        <v>1345</v>
      </c>
      <c r="G6" s="6">
        <v>1386</v>
      </c>
      <c r="H6" s="6">
        <v>1383</v>
      </c>
      <c r="I6" s="6">
        <v>1612</v>
      </c>
      <c r="J6" s="6">
        <v>1115</v>
      </c>
      <c r="K6" s="6">
        <v>25957532</v>
      </c>
      <c r="L6" s="6">
        <v>35899997226</v>
      </c>
      <c r="M6" s="30">
        <v>339169</v>
      </c>
    </row>
    <row r="7" spans="1:15" x14ac:dyDescent="0.3">
      <c r="A7" s="29">
        <v>46087</v>
      </c>
      <c r="B7" s="6">
        <v>1397</v>
      </c>
      <c r="C7" s="6">
        <v>1424</v>
      </c>
      <c r="D7" s="6">
        <v>1390</v>
      </c>
      <c r="E7" s="6">
        <v>1405</v>
      </c>
      <c r="F7" s="6">
        <v>1389</v>
      </c>
      <c r="G7" s="6">
        <v>1407</v>
      </c>
      <c r="H7" s="6">
        <v>1413</v>
      </c>
      <c r="I7" s="6">
        <v>1612</v>
      </c>
      <c r="J7" s="6">
        <v>1115</v>
      </c>
      <c r="K7" s="6">
        <v>19311971</v>
      </c>
      <c r="L7" s="6">
        <v>27285257300</v>
      </c>
      <c r="M7" s="30">
        <v>291792</v>
      </c>
    </row>
    <row r="8" spans="1:15" x14ac:dyDescent="0.3">
      <c r="A8" s="29">
        <v>46090</v>
      </c>
      <c r="B8" s="6">
        <v>1375</v>
      </c>
      <c r="C8" s="6">
        <v>1429</v>
      </c>
      <c r="D8" s="6">
        <v>1370</v>
      </c>
      <c r="E8" s="6">
        <v>1424</v>
      </c>
      <c r="F8" s="6">
        <v>1405</v>
      </c>
      <c r="G8" s="6">
        <v>1419</v>
      </c>
      <c r="H8" s="6">
        <v>1404</v>
      </c>
      <c r="I8" s="6">
        <v>1612</v>
      </c>
      <c r="J8" s="6">
        <v>1115</v>
      </c>
      <c r="K8" s="6">
        <v>24870822</v>
      </c>
      <c r="L8" s="6">
        <v>34920585822</v>
      </c>
      <c r="M8" s="30">
        <v>363998</v>
      </c>
    </row>
    <row r="9" spans="1:15" x14ac:dyDescent="0.3">
      <c r="A9" s="29">
        <v>46091</v>
      </c>
      <c r="B9" s="6">
        <v>1431</v>
      </c>
      <c r="C9" s="6">
        <v>1432</v>
      </c>
      <c r="D9" s="6">
        <v>1401</v>
      </c>
      <c r="E9" s="6">
        <v>1409</v>
      </c>
      <c r="F9" s="6">
        <v>1424</v>
      </c>
      <c r="G9" s="6">
        <v>1411</v>
      </c>
      <c r="H9" s="6">
        <v>1411</v>
      </c>
      <c r="I9" s="6">
        <v>1612</v>
      </c>
      <c r="J9" s="6">
        <v>1115</v>
      </c>
      <c r="K9" s="6">
        <v>18071259</v>
      </c>
      <c r="L9" s="6">
        <v>25497167383</v>
      </c>
      <c r="M9" s="30">
        <v>266712</v>
      </c>
    </row>
    <row r="10" spans="1:15" x14ac:dyDescent="0.3">
      <c r="A10" s="29">
        <v>46092</v>
      </c>
      <c r="B10" s="6">
        <v>1425</v>
      </c>
      <c r="C10" s="6">
        <v>1434</v>
      </c>
      <c r="D10" s="6">
        <v>1384</v>
      </c>
      <c r="E10" s="6">
        <v>1390</v>
      </c>
      <c r="F10" s="6">
        <v>1409</v>
      </c>
      <c r="G10" s="6">
        <v>1387</v>
      </c>
      <c r="H10" s="6">
        <v>1403</v>
      </c>
      <c r="I10" s="6">
        <v>1612</v>
      </c>
      <c r="J10" s="6">
        <v>1115</v>
      </c>
      <c r="K10" s="6">
        <v>21848087</v>
      </c>
      <c r="L10" s="6">
        <v>30651692543</v>
      </c>
      <c r="M10" s="30">
        <v>358595</v>
      </c>
    </row>
    <row r="11" spans="1:15" x14ac:dyDescent="0.3">
      <c r="A11" s="29">
        <v>46093</v>
      </c>
      <c r="B11" s="6">
        <v>1390</v>
      </c>
      <c r="C11" s="6">
        <v>1411</v>
      </c>
      <c r="D11" s="6">
        <v>1381</v>
      </c>
      <c r="E11" s="6">
        <v>1392</v>
      </c>
      <c r="F11" s="6">
        <v>1390</v>
      </c>
      <c r="G11" s="6">
        <v>1390</v>
      </c>
      <c r="H11" s="6">
        <v>1398</v>
      </c>
      <c r="I11" s="6">
        <v>1612</v>
      </c>
      <c r="J11" s="6">
        <v>1115</v>
      </c>
      <c r="K11" s="6">
        <v>20939959</v>
      </c>
      <c r="L11" s="6">
        <v>29264877794</v>
      </c>
      <c r="M11" s="30">
        <v>370385</v>
      </c>
    </row>
    <row r="12" spans="1:15" x14ac:dyDescent="0.3">
      <c r="A12" s="29">
        <v>46094</v>
      </c>
      <c r="B12" s="6">
        <v>1385</v>
      </c>
      <c r="C12" s="6">
        <v>1401</v>
      </c>
      <c r="D12" s="6">
        <v>1378</v>
      </c>
      <c r="E12" s="6">
        <v>1381</v>
      </c>
      <c r="F12" s="6">
        <v>1392</v>
      </c>
      <c r="G12" s="6">
        <v>1382</v>
      </c>
      <c r="H12" s="6">
        <v>1388</v>
      </c>
      <c r="I12" s="6">
        <v>1612</v>
      </c>
      <c r="J12" s="6">
        <v>1115</v>
      </c>
      <c r="K12" s="6">
        <v>17265090</v>
      </c>
      <c r="L12" s="6">
        <v>23968236255</v>
      </c>
      <c r="M12" s="30">
        <v>315335</v>
      </c>
    </row>
    <row r="13" spans="1:15" x14ac:dyDescent="0.3">
      <c r="A13" s="29">
        <v>46097</v>
      </c>
      <c r="B13" s="6">
        <v>1380</v>
      </c>
      <c r="C13" s="6">
        <v>1397</v>
      </c>
      <c r="D13" s="6">
        <v>1364</v>
      </c>
      <c r="E13" s="6">
        <v>1395</v>
      </c>
      <c r="F13" s="6">
        <v>1381</v>
      </c>
      <c r="G13" s="6">
        <v>1394</v>
      </c>
      <c r="H13" s="6">
        <v>1385</v>
      </c>
      <c r="I13" s="6">
        <v>1612</v>
      </c>
      <c r="J13" s="6">
        <v>1115</v>
      </c>
      <c r="K13" s="6">
        <v>22837802</v>
      </c>
      <c r="L13" s="6">
        <v>31619378232</v>
      </c>
      <c r="M13" s="30">
        <v>293132</v>
      </c>
    </row>
    <row r="14" spans="1:15" x14ac:dyDescent="0.3">
      <c r="A14" s="29">
        <v>46098</v>
      </c>
      <c r="B14" s="6">
        <v>1399</v>
      </c>
      <c r="C14" s="6">
        <v>1406</v>
      </c>
      <c r="D14" s="6">
        <v>1388</v>
      </c>
      <c r="E14" s="6">
        <v>1398</v>
      </c>
      <c r="F14" s="6">
        <v>1395</v>
      </c>
      <c r="G14" s="6">
        <v>1395</v>
      </c>
      <c r="H14" s="6">
        <v>1398</v>
      </c>
      <c r="I14" s="6">
        <v>1612</v>
      </c>
      <c r="J14" s="6">
        <v>1115</v>
      </c>
      <c r="K14" s="6">
        <v>19007744</v>
      </c>
      <c r="L14" s="6">
        <v>26576882527</v>
      </c>
      <c r="M14" s="30">
        <v>273340</v>
      </c>
    </row>
    <row r="15" spans="1:15" x14ac:dyDescent="0.3">
      <c r="A15" s="29">
        <v>46099</v>
      </c>
      <c r="B15" s="6">
        <v>1397</v>
      </c>
      <c r="C15" s="6">
        <v>1413</v>
      </c>
      <c r="D15" s="6">
        <v>1397</v>
      </c>
      <c r="E15" s="6">
        <v>1408</v>
      </c>
      <c r="F15" s="6">
        <v>1398</v>
      </c>
      <c r="G15" s="6">
        <v>1407</v>
      </c>
      <c r="H15" s="6">
        <v>1409</v>
      </c>
      <c r="I15" s="6">
        <v>1612</v>
      </c>
      <c r="J15" s="6">
        <v>1115</v>
      </c>
      <c r="K15" s="6">
        <v>9559327</v>
      </c>
      <c r="L15" s="6">
        <v>13465178868</v>
      </c>
      <c r="M15" s="30">
        <v>212371</v>
      </c>
    </row>
    <row r="16" spans="1:15" x14ac:dyDescent="0.3">
      <c r="A16" s="29">
        <v>46100</v>
      </c>
      <c r="B16" s="6">
        <v>1388</v>
      </c>
      <c r="C16" s="6">
        <v>1416</v>
      </c>
      <c r="D16" s="6">
        <v>1376</v>
      </c>
      <c r="E16" s="6">
        <v>1385</v>
      </c>
      <c r="F16" s="6">
        <v>1408</v>
      </c>
      <c r="G16" s="6">
        <v>1392</v>
      </c>
      <c r="H16" s="6">
        <v>1395</v>
      </c>
      <c r="I16" s="6">
        <v>1612</v>
      </c>
      <c r="J16" s="6">
        <v>1115</v>
      </c>
      <c r="K16" s="6">
        <v>16498373</v>
      </c>
      <c r="L16" s="6">
        <v>23010687831</v>
      </c>
      <c r="M16" s="30">
        <v>305792</v>
      </c>
    </row>
    <row r="17" spans="1:13" x14ac:dyDescent="0.3">
      <c r="A17" s="29">
        <v>46101</v>
      </c>
      <c r="B17" s="6">
        <v>1398</v>
      </c>
      <c r="C17" s="6">
        <v>1430</v>
      </c>
      <c r="D17" s="6">
        <v>1396</v>
      </c>
      <c r="E17" s="6">
        <v>1414</v>
      </c>
      <c r="F17" s="6">
        <v>1385</v>
      </c>
      <c r="G17" s="6">
        <v>1414</v>
      </c>
      <c r="H17" s="6">
        <v>1419</v>
      </c>
      <c r="I17" s="6">
        <v>1612</v>
      </c>
      <c r="J17" s="6">
        <v>1115</v>
      </c>
      <c r="K17" s="6">
        <v>22994918</v>
      </c>
      <c r="L17" s="6">
        <v>32628466607</v>
      </c>
      <c r="M17" s="30">
        <v>315139</v>
      </c>
    </row>
    <row r="18" spans="1:13" x14ac:dyDescent="0.3">
      <c r="A18" s="29">
        <v>46104</v>
      </c>
      <c r="B18" s="6">
        <v>1400</v>
      </c>
      <c r="C18" s="6">
        <v>1416</v>
      </c>
      <c r="D18" s="6">
        <v>1391</v>
      </c>
      <c r="E18" s="6">
        <v>1408</v>
      </c>
      <c r="F18" s="6">
        <v>1414</v>
      </c>
      <c r="G18" s="6">
        <v>1404</v>
      </c>
      <c r="H18" s="6">
        <v>1404</v>
      </c>
      <c r="I18" s="6">
        <v>1612</v>
      </c>
      <c r="J18" s="6">
        <v>1115</v>
      </c>
      <c r="K18" s="6">
        <v>18979554</v>
      </c>
      <c r="L18" s="6">
        <v>26655971497</v>
      </c>
      <c r="M18" s="30">
        <v>385355</v>
      </c>
    </row>
    <row r="19" spans="1:13" x14ac:dyDescent="0.3">
      <c r="A19" s="29">
        <v>46105</v>
      </c>
      <c r="B19" s="6">
        <v>1420</v>
      </c>
      <c r="C19" s="6">
        <v>1422</v>
      </c>
      <c r="D19" s="6">
        <v>1407</v>
      </c>
      <c r="E19" s="6">
        <v>1412</v>
      </c>
      <c r="F19" s="6">
        <v>1408</v>
      </c>
      <c r="G19" s="6">
        <v>1414</v>
      </c>
      <c r="H19" s="6">
        <v>1413</v>
      </c>
      <c r="I19" s="6">
        <v>1612</v>
      </c>
      <c r="J19" s="6">
        <v>1115</v>
      </c>
      <c r="K19" s="6">
        <v>18620893</v>
      </c>
      <c r="L19" s="6">
        <v>26315089062</v>
      </c>
      <c r="M19" s="30">
        <v>304313</v>
      </c>
    </row>
    <row r="20" spans="1:13" x14ac:dyDescent="0.3">
      <c r="A20" s="29">
        <v>46106</v>
      </c>
      <c r="B20" s="6">
        <v>1420</v>
      </c>
      <c r="C20" s="6">
        <v>1431</v>
      </c>
      <c r="D20" s="6">
        <v>1408</v>
      </c>
      <c r="E20" s="6">
        <v>1413</v>
      </c>
      <c r="F20" s="6">
        <v>1412</v>
      </c>
      <c r="G20" s="6">
        <v>1414</v>
      </c>
      <c r="H20" s="6">
        <v>1419</v>
      </c>
      <c r="I20" s="6">
        <v>1612</v>
      </c>
      <c r="J20" s="6">
        <v>1115</v>
      </c>
      <c r="K20" s="6">
        <v>19041331</v>
      </c>
      <c r="L20" s="6">
        <v>27014940456</v>
      </c>
      <c r="M20" s="30">
        <v>313024</v>
      </c>
    </row>
    <row r="21" spans="1:13" x14ac:dyDescent="0.3">
      <c r="A21" s="29">
        <v>46108</v>
      </c>
      <c r="B21" s="6">
        <v>1401</v>
      </c>
      <c r="C21" s="6">
        <v>1405</v>
      </c>
      <c r="D21" s="6">
        <v>1345</v>
      </c>
      <c r="E21" s="6">
        <v>1348</v>
      </c>
      <c r="F21" s="6">
        <v>1413</v>
      </c>
      <c r="G21" s="6">
        <v>1348</v>
      </c>
      <c r="H21" s="6">
        <v>1360</v>
      </c>
      <c r="I21" s="6">
        <v>1612</v>
      </c>
      <c r="J21" s="6">
        <v>1115</v>
      </c>
      <c r="K21" s="6">
        <v>23266517</v>
      </c>
      <c r="L21" s="6">
        <v>31641734743</v>
      </c>
      <c r="M21" s="30">
        <v>546051</v>
      </c>
    </row>
    <row r="22" spans="1:13" x14ac:dyDescent="0.3">
      <c r="A22" s="29">
        <v>46111</v>
      </c>
      <c r="B22" s="6">
        <v>1335</v>
      </c>
      <c r="C22" s="6">
        <v>1365</v>
      </c>
      <c r="D22" s="6">
        <v>1334</v>
      </c>
      <c r="E22" s="6">
        <v>1344</v>
      </c>
      <c r="F22" s="6">
        <v>1348</v>
      </c>
      <c r="G22" s="6">
        <v>1348</v>
      </c>
      <c r="H22" s="6">
        <v>1347</v>
      </c>
      <c r="I22" s="6">
        <v>1612</v>
      </c>
      <c r="J22" s="6">
        <v>1115</v>
      </c>
      <c r="K22" s="6">
        <v>24393861</v>
      </c>
      <c r="L22" s="6">
        <v>32864544985</v>
      </c>
      <c r="M22" s="30">
        <v>426526</v>
      </c>
    </row>
    <row r="23" spans="1:13" x14ac:dyDescent="0.3">
      <c r="A23" s="29">
        <v>46113</v>
      </c>
      <c r="B23" s="6">
        <v>1384</v>
      </c>
      <c r="C23" s="6">
        <v>1384</v>
      </c>
      <c r="D23" s="6">
        <v>1363</v>
      </c>
      <c r="E23" s="6">
        <v>1369</v>
      </c>
      <c r="F23" s="6">
        <v>1344</v>
      </c>
      <c r="G23" s="6">
        <v>1370</v>
      </c>
      <c r="H23" s="6">
        <v>1372</v>
      </c>
      <c r="I23" s="6">
        <v>1612</v>
      </c>
      <c r="J23" s="6">
        <v>1115</v>
      </c>
      <c r="K23" s="6">
        <v>14404619</v>
      </c>
      <c r="L23" s="6">
        <v>19763387955</v>
      </c>
      <c r="M23" s="30">
        <v>241179</v>
      </c>
    </row>
    <row r="24" spans="1:13" x14ac:dyDescent="0.3">
      <c r="A24" s="29">
        <v>46114</v>
      </c>
      <c r="B24" s="6">
        <v>1357</v>
      </c>
      <c r="C24" s="6">
        <v>1358</v>
      </c>
      <c r="D24" s="6">
        <v>1328</v>
      </c>
      <c r="E24" s="6">
        <v>1351</v>
      </c>
      <c r="F24" s="6">
        <v>1369</v>
      </c>
      <c r="G24" s="6">
        <v>1351</v>
      </c>
      <c r="H24" s="6">
        <v>1347</v>
      </c>
      <c r="I24" s="6">
        <v>1612</v>
      </c>
      <c r="J24" s="6">
        <v>1115</v>
      </c>
      <c r="K24" s="6">
        <v>21280051</v>
      </c>
      <c r="L24" s="6">
        <v>28656873097</v>
      </c>
      <c r="M24" s="30">
        <v>335321</v>
      </c>
    </row>
    <row r="25" spans="1:13" x14ac:dyDescent="0.3">
      <c r="A25" s="29">
        <v>46118</v>
      </c>
      <c r="B25" s="6">
        <v>1359</v>
      </c>
      <c r="C25" s="6">
        <v>1359</v>
      </c>
      <c r="D25" s="6">
        <v>1290</v>
      </c>
      <c r="E25" s="6">
        <v>1305</v>
      </c>
      <c r="F25" s="6">
        <v>1351</v>
      </c>
      <c r="G25" s="6">
        <v>1306</v>
      </c>
      <c r="H25" s="6">
        <v>1306</v>
      </c>
      <c r="I25" s="6">
        <v>1612</v>
      </c>
      <c r="J25" s="6">
        <v>1115</v>
      </c>
      <c r="K25" s="6">
        <v>29274881</v>
      </c>
      <c r="L25" s="6">
        <v>38243783551</v>
      </c>
      <c r="M25" s="30">
        <v>584670</v>
      </c>
    </row>
    <row r="26" spans="1:13" x14ac:dyDescent="0.3">
      <c r="A26" s="29">
        <v>46119</v>
      </c>
      <c r="B26" s="6">
        <v>1295</v>
      </c>
      <c r="C26" s="6">
        <v>1308</v>
      </c>
      <c r="D26" s="6">
        <v>1291</v>
      </c>
      <c r="E26" s="6">
        <v>1305</v>
      </c>
      <c r="F26" s="6">
        <v>1305</v>
      </c>
      <c r="G26" s="6">
        <v>1307</v>
      </c>
      <c r="H26" s="6">
        <v>1299</v>
      </c>
      <c r="I26" s="6">
        <v>1612</v>
      </c>
      <c r="J26" s="6">
        <v>1115</v>
      </c>
      <c r="K26" s="6">
        <v>28388922</v>
      </c>
      <c r="L26" s="6">
        <v>36869641752</v>
      </c>
      <c r="M26" s="30">
        <v>364146</v>
      </c>
    </row>
    <row r="27" spans="1:13" x14ac:dyDescent="0.3">
      <c r="A27" s="29">
        <v>46120</v>
      </c>
      <c r="B27" s="6">
        <v>1349</v>
      </c>
      <c r="C27" s="6">
        <v>1351</v>
      </c>
      <c r="D27" s="6">
        <v>1326</v>
      </c>
      <c r="E27" s="6">
        <v>1348</v>
      </c>
      <c r="F27" s="6">
        <v>1305</v>
      </c>
      <c r="G27" s="6">
        <v>1349</v>
      </c>
      <c r="H27" s="6">
        <v>1343</v>
      </c>
      <c r="I27" s="6">
        <v>1612</v>
      </c>
      <c r="J27" s="6">
        <v>1115</v>
      </c>
      <c r="K27" s="6">
        <v>21817543</v>
      </c>
      <c r="L27" s="6">
        <v>29301422736</v>
      </c>
      <c r="M27" s="30">
        <v>434059</v>
      </c>
    </row>
    <row r="28" spans="1:13" x14ac:dyDescent="0.3">
      <c r="A28" s="29">
        <v>46121</v>
      </c>
      <c r="B28" s="6">
        <v>1346</v>
      </c>
      <c r="C28" s="6">
        <v>1350</v>
      </c>
      <c r="D28" s="6">
        <v>1326</v>
      </c>
      <c r="E28" s="6">
        <v>1330</v>
      </c>
      <c r="F28" s="6">
        <v>1348</v>
      </c>
      <c r="G28" s="6">
        <v>1330</v>
      </c>
      <c r="H28" s="6">
        <v>1333</v>
      </c>
      <c r="I28" s="6">
        <v>1612</v>
      </c>
      <c r="J28" s="6">
        <v>1115</v>
      </c>
      <c r="K28" s="6">
        <v>20725390</v>
      </c>
      <c r="L28" s="6">
        <v>27632249237</v>
      </c>
      <c r="M28" s="30">
        <v>277395</v>
      </c>
    </row>
    <row r="29" spans="1:13" x14ac:dyDescent="0.3">
      <c r="A29" s="29">
        <v>46122</v>
      </c>
      <c r="B29" s="6">
        <v>1337</v>
      </c>
      <c r="C29" s="6">
        <v>1352</v>
      </c>
      <c r="D29" s="6">
        <v>1332</v>
      </c>
      <c r="E29" s="6">
        <v>1350</v>
      </c>
      <c r="F29" s="6">
        <v>1330</v>
      </c>
      <c r="G29" s="6">
        <v>1350</v>
      </c>
      <c r="H29" s="6">
        <v>1347</v>
      </c>
      <c r="I29" s="6">
        <v>1612</v>
      </c>
      <c r="J29" s="6">
        <v>1115</v>
      </c>
      <c r="K29" s="6">
        <v>19364461</v>
      </c>
      <c r="L29" s="6">
        <v>26083304336</v>
      </c>
      <c r="M29" s="30">
        <v>228260</v>
      </c>
    </row>
    <row r="30" spans="1:13" x14ac:dyDescent="0.3">
      <c r="A30" s="29">
        <v>46125</v>
      </c>
      <c r="B30" s="6">
        <v>1321</v>
      </c>
      <c r="C30" s="6">
        <v>1328</v>
      </c>
      <c r="D30" s="6">
        <v>1310</v>
      </c>
      <c r="E30" s="6">
        <v>1315</v>
      </c>
      <c r="F30" s="6">
        <v>1350</v>
      </c>
      <c r="G30" s="6">
        <v>1314</v>
      </c>
      <c r="H30" s="6">
        <v>1316</v>
      </c>
      <c r="I30" s="6">
        <v>1612</v>
      </c>
      <c r="J30" s="6">
        <v>1228</v>
      </c>
      <c r="K30" s="6">
        <v>28753269</v>
      </c>
      <c r="L30" s="6">
        <v>37852516274</v>
      </c>
      <c r="M30" s="30">
        <v>456747</v>
      </c>
    </row>
    <row r="31" spans="1:13" x14ac:dyDescent="0.3">
      <c r="A31" s="29">
        <v>46127</v>
      </c>
      <c r="B31" s="6">
        <v>1337</v>
      </c>
      <c r="C31" s="6">
        <v>1347</v>
      </c>
      <c r="D31" s="6">
        <v>1334</v>
      </c>
      <c r="E31" s="6">
        <v>1344</v>
      </c>
      <c r="F31" s="6">
        <v>1315</v>
      </c>
      <c r="G31" s="6">
        <v>1343</v>
      </c>
      <c r="H31" s="6">
        <v>1340</v>
      </c>
      <c r="I31" s="6">
        <v>1612</v>
      </c>
      <c r="J31" s="6">
        <v>1228</v>
      </c>
      <c r="K31" s="6">
        <v>15313779</v>
      </c>
      <c r="L31" s="6">
        <v>20520818326</v>
      </c>
      <c r="M31" s="30">
        <v>259818</v>
      </c>
    </row>
    <row r="32" spans="1:13" x14ac:dyDescent="0.3">
      <c r="A32" s="29">
        <v>46128</v>
      </c>
      <c r="B32" s="6">
        <v>1352</v>
      </c>
      <c r="C32" s="6">
        <v>1354</v>
      </c>
      <c r="D32" s="6">
        <v>1330</v>
      </c>
      <c r="E32" s="6">
        <v>1343</v>
      </c>
      <c r="F32" s="6">
        <v>1344</v>
      </c>
      <c r="G32" s="6">
        <v>1346</v>
      </c>
      <c r="H32" s="6">
        <v>1338</v>
      </c>
      <c r="I32" s="6">
        <v>1612</v>
      </c>
      <c r="J32" s="6">
        <v>1228</v>
      </c>
      <c r="K32" s="6">
        <v>30211012</v>
      </c>
      <c r="L32" s="6">
        <v>40436195396</v>
      </c>
      <c r="M32" s="30">
        <v>333177</v>
      </c>
    </row>
    <row r="33" spans="1:13" x14ac:dyDescent="0.3">
      <c r="A33" s="29">
        <v>46129</v>
      </c>
      <c r="B33" s="6">
        <v>1340</v>
      </c>
      <c r="C33" s="6">
        <v>1368</v>
      </c>
      <c r="D33" s="6">
        <v>1340</v>
      </c>
      <c r="E33" s="6">
        <v>1365</v>
      </c>
      <c r="F33" s="6">
        <v>1343</v>
      </c>
      <c r="G33" s="6">
        <v>1365</v>
      </c>
      <c r="H33" s="6">
        <v>1359</v>
      </c>
      <c r="I33" s="6">
        <v>1612</v>
      </c>
      <c r="J33" s="6">
        <v>1228</v>
      </c>
      <c r="K33" s="6">
        <v>13869105</v>
      </c>
      <c r="L33" s="6">
        <v>18850089777</v>
      </c>
      <c r="M33" s="30">
        <v>226433</v>
      </c>
    </row>
    <row r="34" spans="1:13" x14ac:dyDescent="0.3">
      <c r="A34" s="29">
        <v>46132</v>
      </c>
      <c r="B34" s="6">
        <v>1363</v>
      </c>
      <c r="C34" s="6">
        <v>1373</v>
      </c>
      <c r="D34" s="6">
        <v>1353</v>
      </c>
      <c r="E34" s="6">
        <v>1363</v>
      </c>
      <c r="F34" s="6">
        <v>1365</v>
      </c>
      <c r="G34" s="6">
        <v>1361</v>
      </c>
      <c r="H34" s="6">
        <v>1366</v>
      </c>
      <c r="I34" s="6">
        <v>1612</v>
      </c>
      <c r="J34" s="6">
        <v>1267</v>
      </c>
      <c r="K34" s="6">
        <v>13614733</v>
      </c>
      <c r="L34" s="6">
        <v>18596570381</v>
      </c>
      <c r="M34" s="30">
        <v>240331</v>
      </c>
    </row>
    <row r="35" spans="1:13" x14ac:dyDescent="0.3">
      <c r="A35" s="29">
        <v>46133</v>
      </c>
      <c r="B35" s="6">
        <v>1359</v>
      </c>
      <c r="C35" s="6">
        <v>1370</v>
      </c>
      <c r="D35" s="6">
        <v>1350</v>
      </c>
      <c r="E35" s="6">
        <v>1353</v>
      </c>
      <c r="F35" s="6">
        <v>1363</v>
      </c>
      <c r="G35" s="6">
        <v>1355</v>
      </c>
      <c r="H35" s="6">
        <v>1357</v>
      </c>
      <c r="I35" s="6">
        <v>1612</v>
      </c>
      <c r="J35" s="6">
        <v>1267</v>
      </c>
      <c r="K35" s="6">
        <v>27293629</v>
      </c>
      <c r="L35" s="6">
        <v>37026449570</v>
      </c>
      <c r="M35" s="30">
        <v>297701</v>
      </c>
    </row>
    <row r="36" spans="1:13" x14ac:dyDescent="0.3">
      <c r="A36" s="29">
        <v>46134</v>
      </c>
      <c r="B36" s="6">
        <v>1350</v>
      </c>
      <c r="C36" s="6">
        <v>1366</v>
      </c>
      <c r="D36" s="6">
        <v>1349</v>
      </c>
      <c r="E36" s="6">
        <v>1362</v>
      </c>
      <c r="F36" s="6">
        <v>1353</v>
      </c>
      <c r="G36" s="6">
        <v>1362</v>
      </c>
      <c r="H36" s="6">
        <v>1360</v>
      </c>
      <c r="I36" s="6">
        <v>1612</v>
      </c>
      <c r="J36" s="6">
        <v>1267</v>
      </c>
      <c r="K36" s="6">
        <v>9525953</v>
      </c>
      <c r="L36" s="6">
        <v>12959100399</v>
      </c>
      <c r="M36" s="30">
        <v>153909</v>
      </c>
    </row>
    <row r="37" spans="1:13" x14ac:dyDescent="0.3">
      <c r="A37" s="29">
        <v>46135</v>
      </c>
      <c r="B37" s="6">
        <v>1346</v>
      </c>
      <c r="C37" s="6">
        <v>1356</v>
      </c>
      <c r="D37" s="6">
        <v>1341</v>
      </c>
      <c r="E37" s="6">
        <v>1343</v>
      </c>
      <c r="F37" s="6">
        <v>1362</v>
      </c>
      <c r="G37" s="6">
        <v>1344</v>
      </c>
      <c r="H37" s="6">
        <v>1348</v>
      </c>
      <c r="I37" s="6">
        <v>1612</v>
      </c>
      <c r="J37" s="6">
        <v>1267</v>
      </c>
      <c r="K37" s="6">
        <v>16385079</v>
      </c>
      <c r="L37" s="6">
        <v>22084484855</v>
      </c>
      <c r="M37" s="30">
        <v>209218</v>
      </c>
    </row>
    <row r="38" spans="1:13" x14ac:dyDescent="0.3">
      <c r="A38" s="29">
        <v>46136</v>
      </c>
      <c r="B38" s="6">
        <v>1340</v>
      </c>
      <c r="C38" s="6">
        <v>1346</v>
      </c>
      <c r="D38" s="6">
        <v>1325</v>
      </c>
      <c r="E38" s="6">
        <v>1328</v>
      </c>
      <c r="F38" s="6">
        <v>1343</v>
      </c>
      <c r="G38" s="6">
        <v>1331</v>
      </c>
      <c r="H38" s="6">
        <v>1333</v>
      </c>
      <c r="I38" s="6">
        <v>1612</v>
      </c>
      <c r="J38" s="6">
        <v>1267</v>
      </c>
      <c r="K38" s="6">
        <v>11744802</v>
      </c>
      <c r="L38" s="6">
        <v>15655932416</v>
      </c>
      <c r="M38" s="30">
        <v>197088</v>
      </c>
    </row>
    <row r="39" spans="1:13" x14ac:dyDescent="0.3">
      <c r="A39" s="29">
        <v>46139</v>
      </c>
      <c r="B39" s="6">
        <v>1313</v>
      </c>
      <c r="C39" s="6">
        <v>1372</v>
      </c>
      <c r="D39" s="6">
        <v>1311</v>
      </c>
      <c r="E39" s="6">
        <v>1366</v>
      </c>
      <c r="F39" s="6">
        <v>1328</v>
      </c>
      <c r="G39" s="6">
        <v>1370</v>
      </c>
      <c r="H39" s="6">
        <v>1346</v>
      </c>
      <c r="I39" s="6">
        <v>1612</v>
      </c>
      <c r="J39" s="6">
        <v>1290</v>
      </c>
      <c r="K39" s="6">
        <v>24673098</v>
      </c>
      <c r="L39" s="6">
        <v>33221715767</v>
      </c>
      <c r="M39" s="30">
        <v>301732</v>
      </c>
    </row>
    <row r="40" spans="1:13" x14ac:dyDescent="0.3">
      <c r="A40" s="29">
        <v>46140</v>
      </c>
      <c r="B40" s="6">
        <v>1358</v>
      </c>
      <c r="C40" s="6">
        <v>1395</v>
      </c>
      <c r="D40" s="6">
        <v>1357</v>
      </c>
      <c r="E40" s="6">
        <v>1389</v>
      </c>
      <c r="F40" s="6">
        <v>1366</v>
      </c>
      <c r="G40" s="6">
        <v>1393</v>
      </c>
      <c r="H40" s="6">
        <v>1380</v>
      </c>
      <c r="I40" s="6">
        <v>1612</v>
      </c>
      <c r="J40" s="6">
        <v>1290</v>
      </c>
      <c r="K40" s="6">
        <v>41027699</v>
      </c>
      <c r="L40" s="6">
        <v>56634360965</v>
      </c>
      <c r="M40" s="30">
        <v>371160</v>
      </c>
    </row>
    <row r="41" spans="1:13" x14ac:dyDescent="0.3">
      <c r="A41" s="29">
        <v>46141</v>
      </c>
      <c r="B41" s="6">
        <v>1392</v>
      </c>
      <c r="C41" s="6">
        <v>1434</v>
      </c>
      <c r="D41" s="6">
        <v>1391</v>
      </c>
      <c r="E41" s="6">
        <v>1425</v>
      </c>
      <c r="F41" s="6">
        <v>1389</v>
      </c>
      <c r="G41" s="6">
        <v>1430</v>
      </c>
      <c r="H41" s="6">
        <v>1418</v>
      </c>
      <c r="I41" s="6">
        <v>1612</v>
      </c>
      <c r="J41" s="6">
        <v>1290</v>
      </c>
      <c r="K41" s="6">
        <v>30542143</v>
      </c>
      <c r="L41" s="6">
        <v>43315858970</v>
      </c>
      <c r="M41" s="30">
        <v>377101</v>
      </c>
    </row>
    <row r="42" spans="1:13" x14ac:dyDescent="0.3">
      <c r="A42" s="29">
        <v>46142</v>
      </c>
      <c r="B42" s="6">
        <v>1409</v>
      </c>
      <c r="C42" s="6">
        <v>1437</v>
      </c>
      <c r="D42" s="6">
        <v>1393</v>
      </c>
      <c r="E42" s="6">
        <v>1431</v>
      </c>
      <c r="F42" s="6">
        <v>1425</v>
      </c>
      <c r="G42" s="6">
        <v>1436</v>
      </c>
      <c r="H42" s="6">
        <v>1416</v>
      </c>
      <c r="I42" s="6">
        <v>1612</v>
      </c>
      <c r="J42" s="6">
        <v>1290</v>
      </c>
      <c r="K42" s="6">
        <v>30957881</v>
      </c>
      <c r="L42" s="6">
        <v>43849430497</v>
      </c>
      <c r="M42" s="30">
        <v>364569</v>
      </c>
    </row>
    <row r="43" spans="1:13" x14ac:dyDescent="0.3">
      <c r="A43" s="29">
        <v>46146</v>
      </c>
      <c r="B43" s="6">
        <v>1433</v>
      </c>
      <c r="C43" s="6">
        <v>1467</v>
      </c>
      <c r="D43" s="6">
        <v>1433</v>
      </c>
      <c r="E43" s="6">
        <v>1463</v>
      </c>
      <c r="F43" s="6">
        <v>1431</v>
      </c>
      <c r="G43" s="6">
        <v>1467</v>
      </c>
      <c r="H43" s="6">
        <v>1454</v>
      </c>
      <c r="I43" s="6">
        <v>1612</v>
      </c>
      <c r="J43" s="6">
        <v>1290</v>
      </c>
      <c r="K43" s="6">
        <v>24035700</v>
      </c>
      <c r="L43" s="6">
        <v>34947863091</v>
      </c>
      <c r="M43" s="30">
        <v>417403</v>
      </c>
    </row>
    <row r="44" spans="1:13" x14ac:dyDescent="0.3">
      <c r="A44" s="29">
        <v>46147</v>
      </c>
      <c r="B44" s="6">
        <v>1460</v>
      </c>
      <c r="C44" s="6">
        <v>1473</v>
      </c>
      <c r="D44" s="6">
        <v>1450</v>
      </c>
      <c r="E44" s="6">
        <v>1464</v>
      </c>
      <c r="F44" s="6">
        <v>1463</v>
      </c>
      <c r="G44" s="6">
        <v>1463</v>
      </c>
      <c r="H44" s="6">
        <v>1461</v>
      </c>
      <c r="I44" s="6">
        <v>1612</v>
      </c>
      <c r="J44" s="6">
        <v>1290</v>
      </c>
      <c r="K44" s="6">
        <v>23543341</v>
      </c>
      <c r="L44" s="6">
        <v>34407523385</v>
      </c>
      <c r="M44" s="30">
        <v>312401</v>
      </c>
    </row>
    <row r="45" spans="1:13" x14ac:dyDescent="0.3">
      <c r="A45" s="29">
        <v>46148</v>
      </c>
      <c r="B45" s="6">
        <v>1463</v>
      </c>
      <c r="C45" s="6">
        <v>1473</v>
      </c>
      <c r="D45" s="6">
        <v>1428</v>
      </c>
      <c r="E45" s="6">
        <v>1438</v>
      </c>
      <c r="F45" s="6">
        <v>1464</v>
      </c>
      <c r="G45" s="6">
        <v>1439</v>
      </c>
      <c r="H45" s="6">
        <v>1444</v>
      </c>
      <c r="I45" s="6">
        <v>1612</v>
      </c>
      <c r="J45" s="6">
        <v>1290</v>
      </c>
      <c r="K45" s="6">
        <v>14221786</v>
      </c>
      <c r="L45" s="6">
        <v>20542051719</v>
      </c>
      <c r="M45" s="30">
        <v>282129</v>
      </c>
    </row>
    <row r="46" spans="1:13" x14ac:dyDescent="0.3">
      <c r="A46" s="29">
        <v>46149</v>
      </c>
      <c r="B46" s="6">
        <v>1439</v>
      </c>
      <c r="C46" s="6">
        <v>1450</v>
      </c>
      <c r="D46" s="6">
        <v>1430</v>
      </c>
      <c r="E46" s="6">
        <v>1436</v>
      </c>
      <c r="F46" s="6">
        <v>1438</v>
      </c>
      <c r="G46" s="6">
        <v>1436</v>
      </c>
      <c r="H46" s="6">
        <v>1439</v>
      </c>
      <c r="I46" s="6">
        <v>1612</v>
      </c>
      <c r="J46" s="6">
        <v>1290</v>
      </c>
      <c r="K46" s="6">
        <v>19816903</v>
      </c>
      <c r="L46" s="6">
        <v>28509373905</v>
      </c>
      <c r="M46" s="30">
        <v>286996</v>
      </c>
    </row>
    <row r="47" spans="1:13" x14ac:dyDescent="0.3">
      <c r="A47" s="29">
        <v>46150</v>
      </c>
      <c r="B47" s="6">
        <v>1426</v>
      </c>
      <c r="C47" s="6">
        <v>1443</v>
      </c>
      <c r="D47" s="6">
        <v>1418</v>
      </c>
      <c r="E47" s="6">
        <v>1435</v>
      </c>
      <c r="F47" s="6">
        <v>1436</v>
      </c>
      <c r="G47" s="6">
        <v>1436</v>
      </c>
      <c r="H47" s="6">
        <v>1428</v>
      </c>
      <c r="I47" s="6">
        <v>1612</v>
      </c>
      <c r="J47" s="6">
        <v>1290</v>
      </c>
      <c r="K47" s="6">
        <v>8663105</v>
      </c>
      <c r="L47" s="6">
        <v>12374131087</v>
      </c>
      <c r="M47" s="30">
        <v>173992</v>
      </c>
    </row>
    <row r="48" spans="1:13" x14ac:dyDescent="0.3">
      <c r="A48" s="29">
        <v>46153</v>
      </c>
      <c r="B48" s="6">
        <v>1420</v>
      </c>
      <c r="C48" s="6">
        <v>1428</v>
      </c>
      <c r="D48" s="6">
        <v>1382</v>
      </c>
      <c r="E48" s="6">
        <v>1388</v>
      </c>
      <c r="F48" s="6">
        <v>1435</v>
      </c>
      <c r="G48" s="6">
        <v>1385</v>
      </c>
      <c r="H48" s="6">
        <v>1403</v>
      </c>
      <c r="I48" s="6">
        <v>1612</v>
      </c>
      <c r="J48" s="6">
        <v>1290</v>
      </c>
      <c r="K48" s="6">
        <v>15261787</v>
      </c>
      <c r="L48" s="6">
        <v>21408932296</v>
      </c>
      <c r="M48" s="30">
        <v>240591</v>
      </c>
    </row>
    <row r="49" spans="1:13" x14ac:dyDescent="0.3">
      <c r="A49" s="29">
        <v>46154</v>
      </c>
      <c r="B49" s="6">
        <v>1392</v>
      </c>
      <c r="C49" s="6">
        <v>1394</v>
      </c>
      <c r="D49" s="6">
        <v>1360</v>
      </c>
      <c r="E49" s="6">
        <v>1364</v>
      </c>
      <c r="F49" s="6">
        <v>1388</v>
      </c>
      <c r="G49" s="6">
        <v>1367</v>
      </c>
      <c r="H49" s="6">
        <v>1376</v>
      </c>
      <c r="I49" s="6">
        <v>1612</v>
      </c>
      <c r="J49" s="6">
        <v>1290</v>
      </c>
      <c r="K49" s="6">
        <v>24357500</v>
      </c>
      <c r="L49" s="6">
        <v>33509995740</v>
      </c>
      <c r="M49" s="30">
        <v>405245</v>
      </c>
    </row>
    <row r="50" spans="1:13" x14ac:dyDescent="0.3">
      <c r="A50" s="29">
        <v>46155</v>
      </c>
      <c r="B50" s="6">
        <v>1361</v>
      </c>
      <c r="C50" s="6">
        <v>1372</v>
      </c>
      <c r="D50" s="6">
        <v>1352</v>
      </c>
      <c r="E50" s="6">
        <v>1359</v>
      </c>
      <c r="F50" s="6">
        <v>1364</v>
      </c>
      <c r="G50" s="6">
        <v>1361</v>
      </c>
      <c r="H50" s="6">
        <v>1361</v>
      </c>
      <c r="I50" s="6">
        <v>1612</v>
      </c>
      <c r="J50" s="6">
        <v>1290</v>
      </c>
      <c r="K50" s="6">
        <v>13797989</v>
      </c>
      <c r="L50" s="6">
        <v>18776783798</v>
      </c>
      <c r="M50" s="30">
        <v>253418</v>
      </c>
    </row>
    <row r="51" spans="1:13" x14ac:dyDescent="0.3">
      <c r="A51" s="29">
        <v>46156</v>
      </c>
      <c r="B51" s="6">
        <v>1365</v>
      </c>
      <c r="C51" s="6">
        <v>1378</v>
      </c>
      <c r="D51" s="6">
        <v>1358</v>
      </c>
      <c r="E51" s="6">
        <v>1362</v>
      </c>
      <c r="F51" s="6">
        <v>1359</v>
      </c>
      <c r="G51" s="6">
        <v>1369</v>
      </c>
      <c r="H51" s="6">
        <v>1366</v>
      </c>
      <c r="I51" s="6">
        <v>1612</v>
      </c>
      <c r="J51" s="6">
        <v>1290</v>
      </c>
      <c r="K51" s="6">
        <v>17303059</v>
      </c>
      <c r="L51" s="6">
        <v>23634693081</v>
      </c>
      <c r="M51" s="30">
        <v>312686</v>
      </c>
    </row>
    <row r="52" spans="1:13" x14ac:dyDescent="0.3">
      <c r="A52" s="29">
        <v>46157</v>
      </c>
      <c r="B52" s="6">
        <v>1357</v>
      </c>
      <c r="C52" s="6">
        <v>1365</v>
      </c>
      <c r="D52" s="6">
        <v>1329</v>
      </c>
      <c r="E52" s="6">
        <v>1336</v>
      </c>
      <c r="F52" s="6">
        <v>1362</v>
      </c>
      <c r="G52" s="6">
        <v>1339</v>
      </c>
      <c r="H52" s="6">
        <v>1339</v>
      </c>
      <c r="I52" s="6">
        <v>1612</v>
      </c>
      <c r="J52" s="6">
        <v>1290</v>
      </c>
      <c r="K52" s="6">
        <v>19976192</v>
      </c>
      <c r="L52" s="6">
        <v>26755567751</v>
      </c>
      <c r="M52" s="30">
        <v>276450</v>
      </c>
    </row>
    <row r="53" spans="1:13" x14ac:dyDescent="0.3">
      <c r="A53" s="29">
        <v>46160</v>
      </c>
      <c r="B53" s="6">
        <v>1334</v>
      </c>
      <c r="C53" s="6">
        <v>1342</v>
      </c>
      <c r="D53" s="6">
        <v>1319</v>
      </c>
      <c r="E53" s="6">
        <v>1336</v>
      </c>
      <c r="F53" s="6">
        <v>1336</v>
      </c>
      <c r="G53" s="6">
        <v>1335</v>
      </c>
      <c r="H53" s="6">
        <v>1333</v>
      </c>
      <c r="I53" s="6">
        <v>1612</v>
      </c>
      <c r="J53" s="6">
        <v>1290</v>
      </c>
      <c r="K53" s="6">
        <v>13022473</v>
      </c>
      <c r="L53" s="6">
        <v>17364734586</v>
      </c>
      <c r="M53" s="30">
        <v>224065</v>
      </c>
    </row>
    <row r="54" spans="1:13" x14ac:dyDescent="0.3">
      <c r="A54" s="29">
        <v>46161</v>
      </c>
      <c r="B54" s="6">
        <v>1339</v>
      </c>
      <c r="C54" s="6">
        <v>1344</v>
      </c>
      <c r="D54" s="6">
        <v>1318</v>
      </c>
      <c r="E54" s="6">
        <v>1323</v>
      </c>
      <c r="F54" s="6">
        <v>1336</v>
      </c>
      <c r="G54" s="6">
        <v>1323</v>
      </c>
      <c r="H54" s="6">
        <v>1332</v>
      </c>
      <c r="I54" s="6">
        <v>1612</v>
      </c>
      <c r="J54" s="6">
        <v>1290</v>
      </c>
      <c r="K54" s="6">
        <v>21665501</v>
      </c>
      <c r="L54" s="6">
        <v>28861686347</v>
      </c>
      <c r="M54" s="30">
        <v>339757</v>
      </c>
    </row>
    <row r="55" spans="1:13" x14ac:dyDescent="0.3">
      <c r="A55" s="29">
        <v>46162</v>
      </c>
      <c r="B55" s="6">
        <v>1319</v>
      </c>
      <c r="C55" s="6">
        <v>1363</v>
      </c>
      <c r="D55" s="6">
        <v>1313</v>
      </c>
      <c r="E55" s="6">
        <v>1360</v>
      </c>
      <c r="F55" s="6">
        <v>1323</v>
      </c>
      <c r="G55" s="6">
        <v>1360</v>
      </c>
      <c r="H55" s="6">
        <v>1345</v>
      </c>
      <c r="I55" s="6">
        <v>1612</v>
      </c>
      <c r="J55" s="6">
        <v>1290</v>
      </c>
      <c r="K55" s="6">
        <v>13248515</v>
      </c>
      <c r="L55" s="6">
        <v>17822310858</v>
      </c>
      <c r="M55" s="30">
        <v>227919</v>
      </c>
    </row>
    <row r="56" spans="1:13" x14ac:dyDescent="0.3">
      <c r="A56" s="29">
        <v>46163</v>
      </c>
      <c r="B56" s="6">
        <v>1367</v>
      </c>
      <c r="C56" s="6">
        <v>1371</v>
      </c>
      <c r="D56" s="6">
        <v>1345</v>
      </c>
      <c r="E56" s="6">
        <v>1350</v>
      </c>
      <c r="F56" s="6">
        <v>1360</v>
      </c>
      <c r="G56" s="6">
        <v>1349</v>
      </c>
      <c r="H56" s="6">
        <v>1353</v>
      </c>
      <c r="I56" s="6">
        <v>1612</v>
      </c>
      <c r="J56" s="6">
        <v>1290</v>
      </c>
      <c r="K56" s="6">
        <v>17150630</v>
      </c>
      <c r="L56" s="6">
        <v>23201823032</v>
      </c>
      <c r="M56" s="30">
        <v>275605</v>
      </c>
    </row>
    <row r="57" spans="1:13" x14ac:dyDescent="0.3">
      <c r="A57" s="29">
        <v>46164</v>
      </c>
      <c r="B57" s="6">
        <v>1350</v>
      </c>
      <c r="C57" s="6">
        <v>1367</v>
      </c>
      <c r="D57" s="6">
        <v>1349</v>
      </c>
      <c r="E57" s="6">
        <v>1355</v>
      </c>
      <c r="F57" s="6">
        <v>1350</v>
      </c>
      <c r="G57" s="6">
        <v>1358</v>
      </c>
      <c r="H57" s="6">
        <v>1357</v>
      </c>
      <c r="I57" s="6">
        <v>1612</v>
      </c>
      <c r="J57" s="6">
        <v>1290</v>
      </c>
      <c r="K57" s="6">
        <v>7105813</v>
      </c>
      <c r="L57" s="6">
        <v>9644325564</v>
      </c>
      <c r="M57" s="30">
        <v>163887</v>
      </c>
    </row>
    <row r="58" spans="1:13" ht="15" thickBot="1" x14ac:dyDescent="0.35">
      <c r="A58" s="31">
        <v>46167</v>
      </c>
      <c r="B58" s="32">
        <v>1367</v>
      </c>
      <c r="C58" s="32">
        <v>1371</v>
      </c>
      <c r="D58" s="32">
        <v>1357</v>
      </c>
      <c r="E58" s="32">
        <v>1367</v>
      </c>
      <c r="F58" s="32">
        <v>1355</v>
      </c>
      <c r="G58" s="32">
        <v>1366</v>
      </c>
      <c r="H58" s="32">
        <v>1363</v>
      </c>
      <c r="I58" s="32">
        <v>1612</v>
      </c>
      <c r="J58" s="32">
        <v>1290</v>
      </c>
      <c r="K58" s="32">
        <v>6750071</v>
      </c>
      <c r="L58" s="32">
        <v>9201071111</v>
      </c>
      <c r="M58" s="33">
        <v>139554</v>
      </c>
    </row>
  </sheetData>
  <autoFilter ref="A1:M58" xr:uid="{FA7E996D-805D-4F6D-9AA3-B519E0C3B6A8}">
    <sortState xmlns:xlrd2="http://schemas.microsoft.com/office/spreadsheetml/2017/richdata2" ref="A2:M58">
      <sortCondition ref="A1:A5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81E2E-2DB8-4C42-9CE2-333B468ACF64}">
  <dimension ref="A1:E59"/>
  <sheetViews>
    <sheetView workbookViewId="0">
      <selection activeCell="A3" sqref="A3"/>
    </sheetView>
  </sheetViews>
  <sheetFormatPr defaultRowHeight="14.4" x14ac:dyDescent="0.3"/>
  <cols>
    <col min="1" max="1" width="11" style="3" bestFit="1" customWidth="1"/>
    <col min="2" max="2" width="10.6640625" bestFit="1" customWidth="1"/>
    <col min="3" max="3" width="14.77734375" bestFit="1" customWidth="1"/>
    <col min="4" max="4" width="22.88671875" bestFit="1" customWidth="1"/>
    <col min="5" max="5" width="14" bestFit="1" customWidth="1"/>
  </cols>
  <sheetData>
    <row r="1" spans="1:5" ht="18" x14ac:dyDescent="0.35">
      <c r="A1" s="42" t="s">
        <v>26</v>
      </c>
      <c r="B1" s="42"/>
      <c r="C1" s="42"/>
      <c r="D1" s="42"/>
      <c r="E1" s="42"/>
    </row>
    <row r="2" spans="1:5" x14ac:dyDescent="0.3">
      <c r="A2" s="24" t="s">
        <v>13</v>
      </c>
      <c r="B2" s="25" t="s">
        <v>14</v>
      </c>
      <c r="C2" s="25" t="s">
        <v>15</v>
      </c>
      <c r="D2" s="25" t="s">
        <v>16</v>
      </c>
      <c r="E2" s="25" t="s">
        <v>17</v>
      </c>
    </row>
    <row r="3" spans="1:5" x14ac:dyDescent="0.3">
      <c r="A3" s="5">
        <f>('Equity-RELIANCE-EQ-26-02-2026-2'!E2-'Equity-RELIANCE-EQ-26-02-2026-2'!B2) / 'Equity-RELIANCE-EQ-26-02-2026-2'!B2</f>
        <v>5.7183702644746249E-3</v>
      </c>
      <c r="B3" s="6">
        <f>('Equity-RELIANCE-EQ-26-02-2026-2'!C2-'Equity-RELIANCE-EQ-26-02-2026-2'!D2)</f>
        <v>21</v>
      </c>
      <c r="C3" s="5">
        <f>('Equity-RELIANCE-EQ-26-02-2026-2'!E2-'Equity-RELIANCE-EQ-26-02-2026-2'!F2) / 'Equity-RELIANCE-EQ-26-02-2026-2'!F2</f>
        <v>5.7183702644746249E-3</v>
      </c>
      <c r="D3" s="2" t="str">
        <f>IF('Equity-RELIANCE-EQ-26-02-2026-2'!K2 &gt; AVERAGE('Equity-RELIANCE-EQ-26-02-2026-2'!K:K), "High Volume", "Normal Volume")</f>
        <v>Normal Volume</v>
      </c>
      <c r="E3" s="2" t="str">
        <f>IF('Equity-RELIANCE-EQ-26-02-2026-2'!E2 &gt; 'Equity-RELIANCE-EQ-26-02-2026-2'!H2, "Bulish", "Bearish")</f>
        <v>Bulish</v>
      </c>
    </row>
    <row r="4" spans="1:5" x14ac:dyDescent="0.3">
      <c r="A4" s="5">
        <f>('Equity-RELIANCE-EQ-26-02-2026-2'!E3-'Equity-RELIANCE-EQ-26-02-2026-2'!B3) / 'Equity-RELIANCE-EQ-26-02-2026-2'!B3</f>
        <v>-2.8612303290414878E-3</v>
      </c>
      <c r="B4" s="6">
        <f>('Equity-RELIANCE-EQ-26-02-2026-2'!C3-'Equity-RELIANCE-EQ-26-02-2026-2'!D3)</f>
        <v>22</v>
      </c>
      <c r="C4" s="5">
        <f>('Equity-RELIANCE-EQ-26-02-2026-2'!E3-'Equity-RELIANCE-EQ-26-02-2026-2'!F3) / 'Equity-RELIANCE-EQ-26-02-2026-2'!F3</f>
        <v>-9.2395167022032692E-3</v>
      </c>
      <c r="D4" s="2" t="str">
        <f>IF('Equity-RELIANCE-EQ-26-02-2026-2'!K3 &gt; AVERAGE('Equity-RELIANCE-EQ-26-02-2026-2'!K:K), "High Volume", "Normal Volume")</f>
        <v>Normal Volume</v>
      </c>
      <c r="E4" s="2" t="str">
        <f>IF('Equity-RELIANCE-EQ-26-02-2026-2'!E3 &gt; 'Equity-RELIANCE-EQ-26-02-2026-2'!H3, "Bulish", "Bearish")</f>
        <v>Bearish</v>
      </c>
    </row>
    <row r="5" spans="1:5" x14ac:dyDescent="0.3">
      <c r="A5" s="5">
        <f>('Equity-RELIANCE-EQ-26-02-2026-2'!E4-'Equity-RELIANCE-EQ-26-02-2026-2'!B4) / 'Equity-RELIANCE-EQ-26-02-2026-2'!B4</f>
        <v>-1.308139534883721E-2</v>
      </c>
      <c r="B5" s="6">
        <f>('Equity-RELIANCE-EQ-26-02-2026-2'!C4-'Equity-RELIANCE-EQ-26-02-2026-2'!D4)</f>
        <v>37</v>
      </c>
      <c r="C5" s="5">
        <f>('Equity-RELIANCE-EQ-26-02-2026-2'!E4-'Equity-RELIANCE-EQ-26-02-2026-2'!F4) / 'Equity-RELIANCE-EQ-26-02-2026-2'!F4</f>
        <v>-2.5824964131994262E-2</v>
      </c>
      <c r="D5" s="2" t="str">
        <f>IF('Equity-RELIANCE-EQ-26-02-2026-2'!K4 &gt; AVERAGE('Equity-RELIANCE-EQ-26-02-2026-2'!K:K), "High Volume", "Normal Volume")</f>
        <v>High Volume</v>
      </c>
      <c r="E5" s="2" t="str">
        <f>IF('Equity-RELIANCE-EQ-26-02-2026-2'!E4 &gt; 'Equity-RELIANCE-EQ-26-02-2026-2'!H4, "Bulish", "Bearish")</f>
        <v>Bearish</v>
      </c>
    </row>
    <row r="6" spans="1:5" x14ac:dyDescent="0.3">
      <c r="A6" s="5">
        <f>('Equity-RELIANCE-EQ-26-02-2026-2'!E5-'Equity-RELIANCE-EQ-26-02-2026-2'!B5) / 'Equity-RELIANCE-EQ-26-02-2026-2'!B5</f>
        <v>1.1278195488721804E-2</v>
      </c>
      <c r="B6" s="6">
        <f>('Equity-RELIANCE-EQ-26-02-2026-2'!C5-'Equity-RELIANCE-EQ-26-02-2026-2'!D5)</f>
        <v>46</v>
      </c>
      <c r="C6" s="5">
        <f>('Equity-RELIANCE-EQ-26-02-2026-2'!E5-'Equity-RELIANCE-EQ-26-02-2026-2'!F5) / 'Equity-RELIANCE-EQ-26-02-2026-2'!F5</f>
        <v>-9.5729013254786458E-3</v>
      </c>
      <c r="D6" s="2" t="str">
        <f>IF('Equity-RELIANCE-EQ-26-02-2026-2'!K5 &gt; AVERAGE('Equity-RELIANCE-EQ-26-02-2026-2'!K:K), "High Volume", "Normal Volume")</f>
        <v>High Volume</v>
      </c>
      <c r="E6" s="2" t="str">
        <f>IF('Equity-RELIANCE-EQ-26-02-2026-2'!E5 &gt; 'Equity-RELIANCE-EQ-26-02-2026-2'!H5, "Bulish", "Bearish")</f>
        <v>Bulish</v>
      </c>
    </row>
    <row r="7" spans="1:5" x14ac:dyDescent="0.3">
      <c r="A7" s="5">
        <f>('Equity-RELIANCE-EQ-26-02-2026-2'!E6-'Equity-RELIANCE-EQ-26-02-2026-2'!B6) / 'Equity-RELIANCE-EQ-26-02-2026-2'!B6</f>
        <v>2.6607538802660754E-2</v>
      </c>
      <c r="B7" s="6">
        <f>('Equity-RELIANCE-EQ-26-02-2026-2'!C6-'Equity-RELIANCE-EQ-26-02-2026-2'!D6)</f>
        <v>46</v>
      </c>
      <c r="C7" s="5">
        <f>('Equity-RELIANCE-EQ-26-02-2026-2'!E6-'Equity-RELIANCE-EQ-26-02-2026-2'!F6) / 'Equity-RELIANCE-EQ-26-02-2026-2'!F6</f>
        <v>3.2713754646840149E-2</v>
      </c>
      <c r="D7" s="2" t="str">
        <f>IF('Equity-RELIANCE-EQ-26-02-2026-2'!K6 &gt; AVERAGE('Equity-RELIANCE-EQ-26-02-2026-2'!K:K), "High Volume", "Normal Volume")</f>
        <v>High Volume</v>
      </c>
      <c r="E7" s="2" t="str">
        <f>IF('Equity-RELIANCE-EQ-26-02-2026-2'!E6 &gt; 'Equity-RELIANCE-EQ-26-02-2026-2'!H6, "Bulish", "Bearish")</f>
        <v>Bulish</v>
      </c>
    </row>
    <row r="8" spans="1:5" x14ac:dyDescent="0.3">
      <c r="A8" s="5">
        <f>('Equity-RELIANCE-EQ-26-02-2026-2'!E7-'Equity-RELIANCE-EQ-26-02-2026-2'!B7) / 'Equity-RELIANCE-EQ-26-02-2026-2'!B7</f>
        <v>5.7265569076592696E-3</v>
      </c>
      <c r="B8" s="6">
        <f>('Equity-RELIANCE-EQ-26-02-2026-2'!C7-'Equity-RELIANCE-EQ-26-02-2026-2'!D7)</f>
        <v>34</v>
      </c>
      <c r="C8" s="5">
        <f>('Equity-RELIANCE-EQ-26-02-2026-2'!E7-'Equity-RELIANCE-EQ-26-02-2026-2'!F7) / 'Equity-RELIANCE-EQ-26-02-2026-2'!F7</f>
        <v>1.1519078473722102E-2</v>
      </c>
      <c r="D8" s="2" t="str">
        <f>IF('Equity-RELIANCE-EQ-26-02-2026-2'!K7 &gt; AVERAGE('Equity-RELIANCE-EQ-26-02-2026-2'!K:K), "High Volume", "Normal Volume")</f>
        <v>Normal Volume</v>
      </c>
      <c r="E8" s="2" t="str">
        <f>IF('Equity-RELIANCE-EQ-26-02-2026-2'!E7 &gt; 'Equity-RELIANCE-EQ-26-02-2026-2'!H7, "Bulish", "Bearish")</f>
        <v>Bearish</v>
      </c>
    </row>
    <row r="9" spans="1:5" x14ac:dyDescent="0.3">
      <c r="A9" s="5">
        <f>('Equity-RELIANCE-EQ-26-02-2026-2'!E8-'Equity-RELIANCE-EQ-26-02-2026-2'!B8) / 'Equity-RELIANCE-EQ-26-02-2026-2'!B8</f>
        <v>3.563636363636364E-2</v>
      </c>
      <c r="B9" s="6">
        <f>('Equity-RELIANCE-EQ-26-02-2026-2'!C8-'Equity-RELIANCE-EQ-26-02-2026-2'!D8)</f>
        <v>59</v>
      </c>
      <c r="C9" s="5">
        <f>('Equity-RELIANCE-EQ-26-02-2026-2'!E8-'Equity-RELIANCE-EQ-26-02-2026-2'!F8) / 'Equity-RELIANCE-EQ-26-02-2026-2'!F8</f>
        <v>1.3523131672597865E-2</v>
      </c>
      <c r="D9" s="2" t="str">
        <f>IF('Equity-RELIANCE-EQ-26-02-2026-2'!K8 &gt; AVERAGE('Equity-RELIANCE-EQ-26-02-2026-2'!K:K), "High Volume", "Normal Volume")</f>
        <v>High Volume</v>
      </c>
      <c r="E9" s="2" t="str">
        <f>IF('Equity-RELIANCE-EQ-26-02-2026-2'!E8 &gt; 'Equity-RELIANCE-EQ-26-02-2026-2'!H8, "Bulish", "Bearish")</f>
        <v>Bulish</v>
      </c>
    </row>
    <row r="10" spans="1:5" x14ac:dyDescent="0.3">
      <c r="A10" s="5">
        <f>('Equity-RELIANCE-EQ-26-02-2026-2'!E9-'Equity-RELIANCE-EQ-26-02-2026-2'!B9) / 'Equity-RELIANCE-EQ-26-02-2026-2'!B9</f>
        <v>-1.5373864430468204E-2</v>
      </c>
      <c r="B10" s="6">
        <f>('Equity-RELIANCE-EQ-26-02-2026-2'!C9-'Equity-RELIANCE-EQ-26-02-2026-2'!D9)</f>
        <v>31</v>
      </c>
      <c r="C10" s="5">
        <f>('Equity-RELIANCE-EQ-26-02-2026-2'!E9-'Equity-RELIANCE-EQ-26-02-2026-2'!F9) / 'Equity-RELIANCE-EQ-26-02-2026-2'!F9</f>
        <v>-1.0533707865168539E-2</v>
      </c>
      <c r="D10" s="2" t="str">
        <f>IF('Equity-RELIANCE-EQ-26-02-2026-2'!K9 &gt; AVERAGE('Equity-RELIANCE-EQ-26-02-2026-2'!K:K), "High Volume", "Normal Volume")</f>
        <v>Normal Volume</v>
      </c>
      <c r="E10" s="2" t="str">
        <f>IF('Equity-RELIANCE-EQ-26-02-2026-2'!E9 &gt; 'Equity-RELIANCE-EQ-26-02-2026-2'!H9, "Bulish", "Bearish")</f>
        <v>Bearish</v>
      </c>
    </row>
    <row r="11" spans="1:5" x14ac:dyDescent="0.3">
      <c r="A11" s="5">
        <f>('Equity-RELIANCE-EQ-26-02-2026-2'!E10-'Equity-RELIANCE-EQ-26-02-2026-2'!B10) / 'Equity-RELIANCE-EQ-26-02-2026-2'!B10</f>
        <v>-2.456140350877193E-2</v>
      </c>
      <c r="B11" s="6">
        <f>('Equity-RELIANCE-EQ-26-02-2026-2'!C10-'Equity-RELIANCE-EQ-26-02-2026-2'!D10)</f>
        <v>50</v>
      </c>
      <c r="C11" s="5">
        <f>('Equity-RELIANCE-EQ-26-02-2026-2'!E10-'Equity-RELIANCE-EQ-26-02-2026-2'!F10) / 'Equity-RELIANCE-EQ-26-02-2026-2'!F10</f>
        <v>-1.3484740951029099E-2</v>
      </c>
      <c r="D11" s="2" t="str">
        <f>IF('Equity-RELIANCE-EQ-26-02-2026-2'!K10 &gt; AVERAGE('Equity-RELIANCE-EQ-26-02-2026-2'!K:K), "High Volume", "Normal Volume")</f>
        <v>High Volume</v>
      </c>
      <c r="E11" s="2" t="str">
        <f>IF('Equity-RELIANCE-EQ-26-02-2026-2'!E10 &gt; 'Equity-RELIANCE-EQ-26-02-2026-2'!H10, "Bulish", "Bearish")</f>
        <v>Bearish</v>
      </c>
    </row>
    <row r="12" spans="1:5" x14ac:dyDescent="0.3">
      <c r="A12" s="5">
        <f>('Equity-RELIANCE-EQ-26-02-2026-2'!E11-'Equity-RELIANCE-EQ-26-02-2026-2'!B11) / 'Equity-RELIANCE-EQ-26-02-2026-2'!B11</f>
        <v>1.4388489208633094E-3</v>
      </c>
      <c r="B12" s="6">
        <f>('Equity-RELIANCE-EQ-26-02-2026-2'!C11-'Equity-RELIANCE-EQ-26-02-2026-2'!D11)</f>
        <v>30</v>
      </c>
      <c r="C12" s="5">
        <f>('Equity-RELIANCE-EQ-26-02-2026-2'!E11-'Equity-RELIANCE-EQ-26-02-2026-2'!F11) / 'Equity-RELIANCE-EQ-26-02-2026-2'!F11</f>
        <v>1.4388489208633094E-3</v>
      </c>
      <c r="D12" s="2" t="str">
        <f>IF('Equity-RELIANCE-EQ-26-02-2026-2'!K11 &gt; AVERAGE('Equity-RELIANCE-EQ-26-02-2026-2'!K:K), "High Volume", "Normal Volume")</f>
        <v>High Volume</v>
      </c>
      <c r="E12" s="2" t="str">
        <f>IF('Equity-RELIANCE-EQ-26-02-2026-2'!E11 &gt; 'Equity-RELIANCE-EQ-26-02-2026-2'!H11, "Bulish", "Bearish")</f>
        <v>Bearish</v>
      </c>
    </row>
    <row r="13" spans="1:5" x14ac:dyDescent="0.3">
      <c r="A13" s="5">
        <f>('Equity-RELIANCE-EQ-26-02-2026-2'!E12-'Equity-RELIANCE-EQ-26-02-2026-2'!B12) / 'Equity-RELIANCE-EQ-26-02-2026-2'!B12</f>
        <v>-2.8880866425992778E-3</v>
      </c>
      <c r="B13" s="6">
        <f>('Equity-RELIANCE-EQ-26-02-2026-2'!C12-'Equity-RELIANCE-EQ-26-02-2026-2'!D12)</f>
        <v>23</v>
      </c>
      <c r="C13" s="5">
        <f>('Equity-RELIANCE-EQ-26-02-2026-2'!E12-'Equity-RELIANCE-EQ-26-02-2026-2'!F12) / 'Equity-RELIANCE-EQ-26-02-2026-2'!F12</f>
        <v>-7.9022988505747134E-3</v>
      </c>
      <c r="D13" s="2" t="str">
        <f>IF('Equity-RELIANCE-EQ-26-02-2026-2'!K12 &gt; AVERAGE('Equity-RELIANCE-EQ-26-02-2026-2'!K:K), "High Volume", "Normal Volume")</f>
        <v>Normal Volume</v>
      </c>
      <c r="E13" s="2" t="str">
        <f>IF('Equity-RELIANCE-EQ-26-02-2026-2'!E12 &gt; 'Equity-RELIANCE-EQ-26-02-2026-2'!H12, "Bulish", "Bearish")</f>
        <v>Bearish</v>
      </c>
    </row>
    <row r="14" spans="1:5" x14ac:dyDescent="0.3">
      <c r="A14" s="5">
        <f>('Equity-RELIANCE-EQ-26-02-2026-2'!E13-'Equity-RELIANCE-EQ-26-02-2026-2'!B13) / 'Equity-RELIANCE-EQ-26-02-2026-2'!B13</f>
        <v>1.0869565217391304E-2</v>
      </c>
      <c r="B14" s="6">
        <f>('Equity-RELIANCE-EQ-26-02-2026-2'!C13-'Equity-RELIANCE-EQ-26-02-2026-2'!D13)</f>
        <v>33</v>
      </c>
      <c r="C14" s="5">
        <f>('Equity-RELIANCE-EQ-26-02-2026-2'!E13-'Equity-RELIANCE-EQ-26-02-2026-2'!F13) / 'Equity-RELIANCE-EQ-26-02-2026-2'!F13</f>
        <v>1.0137581462708182E-2</v>
      </c>
      <c r="D14" s="2" t="str">
        <f>IF('Equity-RELIANCE-EQ-26-02-2026-2'!K13 &gt; AVERAGE('Equity-RELIANCE-EQ-26-02-2026-2'!K:K), "High Volume", "Normal Volume")</f>
        <v>High Volume</v>
      </c>
      <c r="E14" s="2" t="str">
        <f>IF('Equity-RELIANCE-EQ-26-02-2026-2'!E13 &gt; 'Equity-RELIANCE-EQ-26-02-2026-2'!H13, "Bulish", "Bearish")</f>
        <v>Bulish</v>
      </c>
    </row>
    <row r="15" spans="1:5" x14ac:dyDescent="0.3">
      <c r="A15" s="5">
        <f>('Equity-RELIANCE-EQ-26-02-2026-2'!E14-'Equity-RELIANCE-EQ-26-02-2026-2'!B14) / 'Equity-RELIANCE-EQ-26-02-2026-2'!B14</f>
        <v>-7.1479628305932811E-4</v>
      </c>
      <c r="B15" s="6">
        <f>('Equity-RELIANCE-EQ-26-02-2026-2'!C14-'Equity-RELIANCE-EQ-26-02-2026-2'!D14)</f>
        <v>18</v>
      </c>
      <c r="C15" s="5">
        <f>('Equity-RELIANCE-EQ-26-02-2026-2'!E14-'Equity-RELIANCE-EQ-26-02-2026-2'!F14) / 'Equity-RELIANCE-EQ-26-02-2026-2'!F14</f>
        <v>2.1505376344086021E-3</v>
      </c>
      <c r="D15" s="2" t="str">
        <f>IF('Equity-RELIANCE-EQ-26-02-2026-2'!K14 &gt; AVERAGE('Equity-RELIANCE-EQ-26-02-2026-2'!K:K), "High Volume", "Normal Volume")</f>
        <v>Normal Volume</v>
      </c>
      <c r="E15" s="2" t="str">
        <f>IF('Equity-RELIANCE-EQ-26-02-2026-2'!E14 &gt; 'Equity-RELIANCE-EQ-26-02-2026-2'!H14, "Bulish", "Bearish")</f>
        <v>Bearish</v>
      </c>
    </row>
    <row r="16" spans="1:5" x14ac:dyDescent="0.3">
      <c r="A16" s="5">
        <f>('Equity-RELIANCE-EQ-26-02-2026-2'!E15-'Equity-RELIANCE-EQ-26-02-2026-2'!B15) / 'Equity-RELIANCE-EQ-26-02-2026-2'!B15</f>
        <v>7.874015748031496E-3</v>
      </c>
      <c r="B16" s="6">
        <f>('Equity-RELIANCE-EQ-26-02-2026-2'!C15-'Equity-RELIANCE-EQ-26-02-2026-2'!D15)</f>
        <v>16</v>
      </c>
      <c r="C16" s="5">
        <f>('Equity-RELIANCE-EQ-26-02-2026-2'!E15-'Equity-RELIANCE-EQ-26-02-2026-2'!F15) / 'Equity-RELIANCE-EQ-26-02-2026-2'!F15</f>
        <v>7.1530758226037196E-3</v>
      </c>
      <c r="D16" s="2" t="str">
        <f>IF('Equity-RELIANCE-EQ-26-02-2026-2'!K15 &gt; AVERAGE('Equity-RELIANCE-EQ-26-02-2026-2'!K:K), "High Volume", "Normal Volume")</f>
        <v>Normal Volume</v>
      </c>
      <c r="E16" s="2" t="str">
        <f>IF('Equity-RELIANCE-EQ-26-02-2026-2'!E15 &gt; 'Equity-RELIANCE-EQ-26-02-2026-2'!H15, "Bulish", "Bearish")</f>
        <v>Bearish</v>
      </c>
    </row>
    <row r="17" spans="1:5" x14ac:dyDescent="0.3">
      <c r="A17" s="5">
        <f>('Equity-RELIANCE-EQ-26-02-2026-2'!E16-'Equity-RELIANCE-EQ-26-02-2026-2'!B16) / 'Equity-RELIANCE-EQ-26-02-2026-2'!B16</f>
        <v>-2.1613832853025938E-3</v>
      </c>
      <c r="B17" s="6">
        <f>('Equity-RELIANCE-EQ-26-02-2026-2'!C16-'Equity-RELIANCE-EQ-26-02-2026-2'!D16)</f>
        <v>40</v>
      </c>
      <c r="C17" s="5">
        <f>('Equity-RELIANCE-EQ-26-02-2026-2'!E16-'Equity-RELIANCE-EQ-26-02-2026-2'!F16) / 'Equity-RELIANCE-EQ-26-02-2026-2'!F16</f>
        <v>-1.6335227272727272E-2</v>
      </c>
      <c r="D17" s="2" t="str">
        <f>IF('Equity-RELIANCE-EQ-26-02-2026-2'!K16 &gt; AVERAGE('Equity-RELIANCE-EQ-26-02-2026-2'!K:K), "High Volume", "Normal Volume")</f>
        <v>Normal Volume</v>
      </c>
      <c r="E17" s="2" t="str">
        <f>IF('Equity-RELIANCE-EQ-26-02-2026-2'!E16 &gt; 'Equity-RELIANCE-EQ-26-02-2026-2'!H16, "Bulish", "Bearish")</f>
        <v>Bearish</v>
      </c>
    </row>
    <row r="18" spans="1:5" x14ac:dyDescent="0.3">
      <c r="A18" s="5">
        <f>('Equity-RELIANCE-EQ-26-02-2026-2'!E17-'Equity-RELIANCE-EQ-26-02-2026-2'!B17) / 'Equity-RELIANCE-EQ-26-02-2026-2'!B17</f>
        <v>1.1444921316165951E-2</v>
      </c>
      <c r="B18" s="6">
        <f>('Equity-RELIANCE-EQ-26-02-2026-2'!C17-'Equity-RELIANCE-EQ-26-02-2026-2'!D17)</f>
        <v>34</v>
      </c>
      <c r="C18" s="5">
        <f>('Equity-RELIANCE-EQ-26-02-2026-2'!E17-'Equity-RELIANCE-EQ-26-02-2026-2'!F17) / 'Equity-RELIANCE-EQ-26-02-2026-2'!F17</f>
        <v>2.0938628158844765E-2</v>
      </c>
      <c r="D18" s="2" t="str">
        <f>IF('Equity-RELIANCE-EQ-26-02-2026-2'!K17 &gt; AVERAGE('Equity-RELIANCE-EQ-26-02-2026-2'!K:K), "High Volume", "Normal Volume")</f>
        <v>High Volume</v>
      </c>
      <c r="E18" s="2" t="str">
        <f>IF('Equity-RELIANCE-EQ-26-02-2026-2'!E17 &gt; 'Equity-RELIANCE-EQ-26-02-2026-2'!H17, "Bulish", "Bearish")</f>
        <v>Bearish</v>
      </c>
    </row>
    <row r="19" spans="1:5" x14ac:dyDescent="0.3">
      <c r="A19" s="5">
        <f>('Equity-RELIANCE-EQ-26-02-2026-2'!E18-'Equity-RELIANCE-EQ-26-02-2026-2'!B18) / 'Equity-RELIANCE-EQ-26-02-2026-2'!B18</f>
        <v>5.7142857142857143E-3</v>
      </c>
      <c r="B19" s="6">
        <f>('Equity-RELIANCE-EQ-26-02-2026-2'!C18-'Equity-RELIANCE-EQ-26-02-2026-2'!D18)</f>
        <v>25</v>
      </c>
      <c r="C19" s="5">
        <f>('Equity-RELIANCE-EQ-26-02-2026-2'!E18-'Equity-RELIANCE-EQ-26-02-2026-2'!F18) / 'Equity-RELIANCE-EQ-26-02-2026-2'!F18</f>
        <v>-4.2432814710042432E-3</v>
      </c>
      <c r="D19" s="2" t="str">
        <f>IF('Equity-RELIANCE-EQ-26-02-2026-2'!K18 &gt; AVERAGE('Equity-RELIANCE-EQ-26-02-2026-2'!K:K), "High Volume", "Normal Volume")</f>
        <v>Normal Volume</v>
      </c>
      <c r="E19" s="2" t="str">
        <f>IF('Equity-RELIANCE-EQ-26-02-2026-2'!E18 &gt; 'Equity-RELIANCE-EQ-26-02-2026-2'!H18, "Bulish", "Bearish")</f>
        <v>Bulish</v>
      </c>
    </row>
    <row r="20" spans="1:5" x14ac:dyDescent="0.3">
      <c r="A20" s="5">
        <f>('Equity-RELIANCE-EQ-26-02-2026-2'!E19-'Equity-RELIANCE-EQ-26-02-2026-2'!B19) / 'Equity-RELIANCE-EQ-26-02-2026-2'!B19</f>
        <v>-5.6338028169014088E-3</v>
      </c>
      <c r="B20" s="6">
        <f>('Equity-RELIANCE-EQ-26-02-2026-2'!C19-'Equity-RELIANCE-EQ-26-02-2026-2'!D19)</f>
        <v>15</v>
      </c>
      <c r="C20" s="5">
        <f>('Equity-RELIANCE-EQ-26-02-2026-2'!E19-'Equity-RELIANCE-EQ-26-02-2026-2'!F19) / 'Equity-RELIANCE-EQ-26-02-2026-2'!F19</f>
        <v>2.840909090909091E-3</v>
      </c>
      <c r="D20" s="2" t="str">
        <f>IF('Equity-RELIANCE-EQ-26-02-2026-2'!K19 &gt; AVERAGE('Equity-RELIANCE-EQ-26-02-2026-2'!K:K), "High Volume", "Normal Volume")</f>
        <v>Normal Volume</v>
      </c>
      <c r="E20" s="2" t="str">
        <f>IF('Equity-RELIANCE-EQ-26-02-2026-2'!E19 &gt; 'Equity-RELIANCE-EQ-26-02-2026-2'!H19, "Bulish", "Bearish")</f>
        <v>Bearish</v>
      </c>
    </row>
    <row r="21" spans="1:5" x14ac:dyDescent="0.3">
      <c r="A21" s="5">
        <f>('Equity-RELIANCE-EQ-26-02-2026-2'!E20-'Equity-RELIANCE-EQ-26-02-2026-2'!B20) / 'Equity-RELIANCE-EQ-26-02-2026-2'!B20</f>
        <v>-4.9295774647887328E-3</v>
      </c>
      <c r="B21" s="6">
        <f>('Equity-RELIANCE-EQ-26-02-2026-2'!C20-'Equity-RELIANCE-EQ-26-02-2026-2'!D20)</f>
        <v>23</v>
      </c>
      <c r="C21" s="5">
        <f>('Equity-RELIANCE-EQ-26-02-2026-2'!E20-'Equity-RELIANCE-EQ-26-02-2026-2'!F20) / 'Equity-RELIANCE-EQ-26-02-2026-2'!F20</f>
        <v>7.0821529745042496E-4</v>
      </c>
      <c r="D21" s="2" t="str">
        <f>IF('Equity-RELIANCE-EQ-26-02-2026-2'!K20 &gt; AVERAGE('Equity-RELIANCE-EQ-26-02-2026-2'!K:K), "High Volume", "Normal Volume")</f>
        <v>Normal Volume</v>
      </c>
      <c r="E21" s="2" t="str">
        <f>IF('Equity-RELIANCE-EQ-26-02-2026-2'!E20 &gt; 'Equity-RELIANCE-EQ-26-02-2026-2'!H20, "Bulish", "Bearish")</f>
        <v>Bearish</v>
      </c>
    </row>
    <row r="22" spans="1:5" x14ac:dyDescent="0.3">
      <c r="A22" s="5">
        <f>('Equity-RELIANCE-EQ-26-02-2026-2'!E21-'Equity-RELIANCE-EQ-26-02-2026-2'!B21) / 'Equity-RELIANCE-EQ-26-02-2026-2'!B21</f>
        <v>-3.7830121341898643E-2</v>
      </c>
      <c r="B22" s="6">
        <f>('Equity-RELIANCE-EQ-26-02-2026-2'!C21-'Equity-RELIANCE-EQ-26-02-2026-2'!D21)</f>
        <v>60</v>
      </c>
      <c r="C22" s="5">
        <f>('Equity-RELIANCE-EQ-26-02-2026-2'!E21-'Equity-RELIANCE-EQ-26-02-2026-2'!F21) / 'Equity-RELIANCE-EQ-26-02-2026-2'!F21</f>
        <v>-4.600141542816702E-2</v>
      </c>
      <c r="D22" s="2" t="str">
        <f>IF('Equity-RELIANCE-EQ-26-02-2026-2'!K21 &gt; AVERAGE('Equity-RELIANCE-EQ-26-02-2026-2'!K:K), "High Volume", "Normal Volume")</f>
        <v>High Volume</v>
      </c>
      <c r="E22" s="2" t="str">
        <f>IF('Equity-RELIANCE-EQ-26-02-2026-2'!E21 &gt; 'Equity-RELIANCE-EQ-26-02-2026-2'!H21, "Bulish", "Bearish")</f>
        <v>Bearish</v>
      </c>
    </row>
    <row r="23" spans="1:5" x14ac:dyDescent="0.3">
      <c r="A23" s="5">
        <f>('Equity-RELIANCE-EQ-26-02-2026-2'!E22-'Equity-RELIANCE-EQ-26-02-2026-2'!B22) / 'Equity-RELIANCE-EQ-26-02-2026-2'!B22</f>
        <v>6.7415730337078653E-3</v>
      </c>
      <c r="B23" s="6">
        <f>('Equity-RELIANCE-EQ-26-02-2026-2'!C22-'Equity-RELIANCE-EQ-26-02-2026-2'!D22)</f>
        <v>31</v>
      </c>
      <c r="C23" s="5">
        <f>('Equity-RELIANCE-EQ-26-02-2026-2'!E22-'Equity-RELIANCE-EQ-26-02-2026-2'!F22) / 'Equity-RELIANCE-EQ-26-02-2026-2'!F22</f>
        <v>-2.967359050445104E-3</v>
      </c>
      <c r="D23" s="2" t="str">
        <f>IF('Equity-RELIANCE-EQ-26-02-2026-2'!K22 &gt; AVERAGE('Equity-RELIANCE-EQ-26-02-2026-2'!K:K), "High Volume", "Normal Volume")</f>
        <v>High Volume</v>
      </c>
      <c r="E23" s="2" t="str">
        <f>IF('Equity-RELIANCE-EQ-26-02-2026-2'!E22 &gt; 'Equity-RELIANCE-EQ-26-02-2026-2'!H22, "Bulish", "Bearish")</f>
        <v>Bearish</v>
      </c>
    </row>
    <row r="24" spans="1:5" x14ac:dyDescent="0.3">
      <c r="A24" s="5">
        <f>('Equity-RELIANCE-EQ-26-02-2026-2'!E23-'Equity-RELIANCE-EQ-26-02-2026-2'!B23) / 'Equity-RELIANCE-EQ-26-02-2026-2'!B23</f>
        <v>-1.0838150289017341E-2</v>
      </c>
      <c r="B24" s="6">
        <f>('Equity-RELIANCE-EQ-26-02-2026-2'!C23-'Equity-RELIANCE-EQ-26-02-2026-2'!D23)</f>
        <v>21</v>
      </c>
      <c r="C24" s="5">
        <f>('Equity-RELIANCE-EQ-26-02-2026-2'!E23-'Equity-RELIANCE-EQ-26-02-2026-2'!F23) / 'Equity-RELIANCE-EQ-26-02-2026-2'!F23</f>
        <v>1.8601190476190476E-2</v>
      </c>
      <c r="D24" s="2" t="str">
        <f>IF('Equity-RELIANCE-EQ-26-02-2026-2'!K23 &gt; AVERAGE('Equity-RELIANCE-EQ-26-02-2026-2'!K:K), "High Volume", "Normal Volume")</f>
        <v>Normal Volume</v>
      </c>
      <c r="E24" s="2" t="str">
        <f>IF('Equity-RELIANCE-EQ-26-02-2026-2'!E23 &gt; 'Equity-RELIANCE-EQ-26-02-2026-2'!H23, "Bulish", "Bearish")</f>
        <v>Bearish</v>
      </c>
    </row>
    <row r="25" spans="1:5" x14ac:dyDescent="0.3">
      <c r="A25" s="5">
        <f>('Equity-RELIANCE-EQ-26-02-2026-2'!E24-'Equity-RELIANCE-EQ-26-02-2026-2'!B24) / 'Equity-RELIANCE-EQ-26-02-2026-2'!B24</f>
        <v>-4.4215180545320561E-3</v>
      </c>
      <c r="B25" s="6">
        <f>('Equity-RELIANCE-EQ-26-02-2026-2'!C24-'Equity-RELIANCE-EQ-26-02-2026-2'!D24)</f>
        <v>30</v>
      </c>
      <c r="C25" s="5">
        <f>('Equity-RELIANCE-EQ-26-02-2026-2'!E24-'Equity-RELIANCE-EQ-26-02-2026-2'!F24) / 'Equity-RELIANCE-EQ-26-02-2026-2'!F24</f>
        <v>-1.3148283418553688E-2</v>
      </c>
      <c r="D25" s="2" t="str">
        <f>IF('Equity-RELIANCE-EQ-26-02-2026-2'!K24 &gt; AVERAGE('Equity-RELIANCE-EQ-26-02-2026-2'!K:K), "High Volume", "Normal Volume")</f>
        <v>High Volume</v>
      </c>
      <c r="E25" s="2" t="str">
        <f>IF('Equity-RELIANCE-EQ-26-02-2026-2'!E24 &gt; 'Equity-RELIANCE-EQ-26-02-2026-2'!H24, "Bulish", "Bearish")</f>
        <v>Bulish</v>
      </c>
    </row>
    <row r="26" spans="1:5" x14ac:dyDescent="0.3">
      <c r="A26" s="5">
        <f>('Equity-RELIANCE-EQ-26-02-2026-2'!E25-'Equity-RELIANCE-EQ-26-02-2026-2'!B25) / 'Equity-RELIANCE-EQ-26-02-2026-2'!B25</f>
        <v>-3.9735099337748346E-2</v>
      </c>
      <c r="B26" s="6">
        <f>('Equity-RELIANCE-EQ-26-02-2026-2'!C25-'Equity-RELIANCE-EQ-26-02-2026-2'!D25)</f>
        <v>69</v>
      </c>
      <c r="C26" s="5">
        <f>('Equity-RELIANCE-EQ-26-02-2026-2'!E25-'Equity-RELIANCE-EQ-26-02-2026-2'!F25) / 'Equity-RELIANCE-EQ-26-02-2026-2'!F25</f>
        <v>-3.4048852701702444E-2</v>
      </c>
      <c r="D26" s="2" t="str">
        <f>IF('Equity-RELIANCE-EQ-26-02-2026-2'!K25 &gt; AVERAGE('Equity-RELIANCE-EQ-26-02-2026-2'!K:K), "High Volume", "Normal Volume")</f>
        <v>High Volume</v>
      </c>
      <c r="E26" s="2" t="str">
        <f>IF('Equity-RELIANCE-EQ-26-02-2026-2'!E25 &gt; 'Equity-RELIANCE-EQ-26-02-2026-2'!H25, "Bulish", "Bearish")</f>
        <v>Bearish</v>
      </c>
    </row>
    <row r="27" spans="1:5" x14ac:dyDescent="0.3">
      <c r="A27" s="5">
        <f>('Equity-RELIANCE-EQ-26-02-2026-2'!E26-'Equity-RELIANCE-EQ-26-02-2026-2'!B26) / 'Equity-RELIANCE-EQ-26-02-2026-2'!B26</f>
        <v>7.7220077220077222E-3</v>
      </c>
      <c r="B27" s="6">
        <f>('Equity-RELIANCE-EQ-26-02-2026-2'!C26-'Equity-RELIANCE-EQ-26-02-2026-2'!D26)</f>
        <v>17</v>
      </c>
      <c r="C27" s="5">
        <f>('Equity-RELIANCE-EQ-26-02-2026-2'!E26-'Equity-RELIANCE-EQ-26-02-2026-2'!F26) / 'Equity-RELIANCE-EQ-26-02-2026-2'!F26</f>
        <v>0</v>
      </c>
      <c r="D27" s="2" t="str">
        <f>IF('Equity-RELIANCE-EQ-26-02-2026-2'!K26 &gt; AVERAGE('Equity-RELIANCE-EQ-26-02-2026-2'!K:K), "High Volume", "Normal Volume")</f>
        <v>High Volume</v>
      </c>
      <c r="E27" s="2" t="str">
        <f>IF('Equity-RELIANCE-EQ-26-02-2026-2'!E26 &gt; 'Equity-RELIANCE-EQ-26-02-2026-2'!H26, "Bulish", "Bearish")</f>
        <v>Bulish</v>
      </c>
    </row>
    <row r="28" spans="1:5" x14ac:dyDescent="0.3">
      <c r="A28" s="5">
        <f>('Equity-RELIANCE-EQ-26-02-2026-2'!E27-'Equity-RELIANCE-EQ-26-02-2026-2'!B27) / 'Equity-RELIANCE-EQ-26-02-2026-2'!B27</f>
        <v>-7.4128984432913266E-4</v>
      </c>
      <c r="B28" s="6">
        <f>('Equity-RELIANCE-EQ-26-02-2026-2'!C27-'Equity-RELIANCE-EQ-26-02-2026-2'!D27)</f>
        <v>25</v>
      </c>
      <c r="C28" s="5">
        <f>('Equity-RELIANCE-EQ-26-02-2026-2'!E27-'Equity-RELIANCE-EQ-26-02-2026-2'!F27) / 'Equity-RELIANCE-EQ-26-02-2026-2'!F27</f>
        <v>3.2950191570881228E-2</v>
      </c>
      <c r="D28" s="2" t="str">
        <f>IF('Equity-RELIANCE-EQ-26-02-2026-2'!K27 &gt; AVERAGE('Equity-RELIANCE-EQ-26-02-2026-2'!K:K), "High Volume", "Normal Volume")</f>
        <v>High Volume</v>
      </c>
      <c r="E28" s="2" t="str">
        <f>IF('Equity-RELIANCE-EQ-26-02-2026-2'!E27 &gt; 'Equity-RELIANCE-EQ-26-02-2026-2'!H27, "Bulish", "Bearish")</f>
        <v>Bulish</v>
      </c>
    </row>
    <row r="29" spans="1:5" x14ac:dyDescent="0.3">
      <c r="A29" s="5">
        <f>('Equity-RELIANCE-EQ-26-02-2026-2'!E28-'Equity-RELIANCE-EQ-26-02-2026-2'!B28) / 'Equity-RELIANCE-EQ-26-02-2026-2'!B28</f>
        <v>-1.188707280832095E-2</v>
      </c>
      <c r="B29" s="6">
        <f>('Equity-RELIANCE-EQ-26-02-2026-2'!C28-'Equity-RELIANCE-EQ-26-02-2026-2'!D28)</f>
        <v>24</v>
      </c>
      <c r="C29" s="5">
        <f>('Equity-RELIANCE-EQ-26-02-2026-2'!E28-'Equity-RELIANCE-EQ-26-02-2026-2'!F28) / 'Equity-RELIANCE-EQ-26-02-2026-2'!F28</f>
        <v>-1.3353115727002967E-2</v>
      </c>
      <c r="D29" s="2" t="str">
        <f>IF('Equity-RELIANCE-EQ-26-02-2026-2'!K28 &gt; AVERAGE('Equity-RELIANCE-EQ-26-02-2026-2'!K:K), "High Volume", "Normal Volume")</f>
        <v>High Volume</v>
      </c>
      <c r="E29" s="2" t="str">
        <f>IF('Equity-RELIANCE-EQ-26-02-2026-2'!E28 &gt; 'Equity-RELIANCE-EQ-26-02-2026-2'!H28, "Bulish", "Bearish")</f>
        <v>Bearish</v>
      </c>
    </row>
    <row r="30" spans="1:5" x14ac:dyDescent="0.3">
      <c r="A30" s="5">
        <f>('Equity-RELIANCE-EQ-26-02-2026-2'!E29-'Equity-RELIANCE-EQ-26-02-2026-2'!B29) / 'Equity-RELIANCE-EQ-26-02-2026-2'!B29</f>
        <v>9.7232610321615551E-3</v>
      </c>
      <c r="B30" s="6">
        <f>('Equity-RELIANCE-EQ-26-02-2026-2'!C29-'Equity-RELIANCE-EQ-26-02-2026-2'!D29)</f>
        <v>20</v>
      </c>
      <c r="C30" s="5">
        <f>('Equity-RELIANCE-EQ-26-02-2026-2'!E29-'Equity-RELIANCE-EQ-26-02-2026-2'!F29) / 'Equity-RELIANCE-EQ-26-02-2026-2'!F29</f>
        <v>1.5037593984962405E-2</v>
      </c>
      <c r="D30" s="2" t="str">
        <f>IF('Equity-RELIANCE-EQ-26-02-2026-2'!K29 &gt; AVERAGE('Equity-RELIANCE-EQ-26-02-2026-2'!K:K), "High Volume", "Normal Volume")</f>
        <v>Normal Volume</v>
      </c>
      <c r="E30" s="2" t="str">
        <f>IF('Equity-RELIANCE-EQ-26-02-2026-2'!E29 &gt; 'Equity-RELIANCE-EQ-26-02-2026-2'!H29, "Bulish", "Bearish")</f>
        <v>Bulish</v>
      </c>
    </row>
    <row r="31" spans="1:5" x14ac:dyDescent="0.3">
      <c r="A31" s="5">
        <f>('Equity-RELIANCE-EQ-26-02-2026-2'!E30-'Equity-RELIANCE-EQ-26-02-2026-2'!B30) / 'Equity-RELIANCE-EQ-26-02-2026-2'!B30</f>
        <v>-4.5420136260408781E-3</v>
      </c>
      <c r="B31" s="6">
        <f>('Equity-RELIANCE-EQ-26-02-2026-2'!C30-'Equity-RELIANCE-EQ-26-02-2026-2'!D30)</f>
        <v>18</v>
      </c>
      <c r="C31" s="5">
        <f>('Equity-RELIANCE-EQ-26-02-2026-2'!E30-'Equity-RELIANCE-EQ-26-02-2026-2'!F30) / 'Equity-RELIANCE-EQ-26-02-2026-2'!F30</f>
        <v>-2.5925925925925925E-2</v>
      </c>
      <c r="D31" s="2" t="str">
        <f>IF('Equity-RELIANCE-EQ-26-02-2026-2'!K30 &gt; AVERAGE('Equity-RELIANCE-EQ-26-02-2026-2'!K:K), "High Volume", "Normal Volume")</f>
        <v>High Volume</v>
      </c>
      <c r="E31" s="2" t="str">
        <f>IF('Equity-RELIANCE-EQ-26-02-2026-2'!E30 &gt; 'Equity-RELIANCE-EQ-26-02-2026-2'!H30, "Bulish", "Bearish")</f>
        <v>Bearish</v>
      </c>
    </row>
    <row r="32" spans="1:5" x14ac:dyDescent="0.3">
      <c r="A32" s="5">
        <f>('Equity-RELIANCE-EQ-26-02-2026-2'!E31-'Equity-RELIANCE-EQ-26-02-2026-2'!B31) / 'Equity-RELIANCE-EQ-26-02-2026-2'!B31</f>
        <v>5.235602094240838E-3</v>
      </c>
      <c r="B32" s="6">
        <f>('Equity-RELIANCE-EQ-26-02-2026-2'!C31-'Equity-RELIANCE-EQ-26-02-2026-2'!D31)</f>
        <v>13</v>
      </c>
      <c r="C32" s="5">
        <f>('Equity-RELIANCE-EQ-26-02-2026-2'!E31-'Equity-RELIANCE-EQ-26-02-2026-2'!F31) / 'Equity-RELIANCE-EQ-26-02-2026-2'!F31</f>
        <v>2.2053231939163497E-2</v>
      </c>
      <c r="D32" s="2" t="str">
        <f>IF('Equity-RELIANCE-EQ-26-02-2026-2'!K31 &gt; AVERAGE('Equity-RELIANCE-EQ-26-02-2026-2'!K:K), "High Volume", "Normal Volume")</f>
        <v>Normal Volume</v>
      </c>
      <c r="E32" s="2" t="str">
        <f>IF('Equity-RELIANCE-EQ-26-02-2026-2'!E31 &gt; 'Equity-RELIANCE-EQ-26-02-2026-2'!H31, "Bulish", "Bearish")</f>
        <v>Bulish</v>
      </c>
    </row>
    <row r="33" spans="1:5" x14ac:dyDescent="0.3">
      <c r="A33" s="5">
        <f>('Equity-RELIANCE-EQ-26-02-2026-2'!E32-'Equity-RELIANCE-EQ-26-02-2026-2'!B32) / 'Equity-RELIANCE-EQ-26-02-2026-2'!B32</f>
        <v>-6.6568047337278108E-3</v>
      </c>
      <c r="B33" s="6">
        <f>('Equity-RELIANCE-EQ-26-02-2026-2'!C32-'Equity-RELIANCE-EQ-26-02-2026-2'!D32)</f>
        <v>24</v>
      </c>
      <c r="C33" s="5">
        <f>('Equity-RELIANCE-EQ-26-02-2026-2'!E32-'Equity-RELIANCE-EQ-26-02-2026-2'!F32) / 'Equity-RELIANCE-EQ-26-02-2026-2'!F32</f>
        <v>-7.4404761904761901E-4</v>
      </c>
      <c r="D33" s="2" t="str">
        <f>IF('Equity-RELIANCE-EQ-26-02-2026-2'!K32 &gt; AVERAGE('Equity-RELIANCE-EQ-26-02-2026-2'!K:K), "High Volume", "Normal Volume")</f>
        <v>High Volume</v>
      </c>
      <c r="E33" s="2" t="str">
        <f>IF('Equity-RELIANCE-EQ-26-02-2026-2'!E32 &gt; 'Equity-RELIANCE-EQ-26-02-2026-2'!H32, "Bulish", "Bearish")</f>
        <v>Bulish</v>
      </c>
    </row>
    <row r="34" spans="1:5" x14ac:dyDescent="0.3">
      <c r="A34" s="5">
        <f>('Equity-RELIANCE-EQ-26-02-2026-2'!E33-'Equity-RELIANCE-EQ-26-02-2026-2'!B33) / 'Equity-RELIANCE-EQ-26-02-2026-2'!B33</f>
        <v>1.8656716417910446E-2</v>
      </c>
      <c r="B34" s="6">
        <f>('Equity-RELIANCE-EQ-26-02-2026-2'!C33-'Equity-RELIANCE-EQ-26-02-2026-2'!D33)</f>
        <v>28</v>
      </c>
      <c r="C34" s="5">
        <f>('Equity-RELIANCE-EQ-26-02-2026-2'!E33-'Equity-RELIANCE-EQ-26-02-2026-2'!F33) / 'Equity-RELIANCE-EQ-26-02-2026-2'!F33</f>
        <v>1.6381236038719285E-2</v>
      </c>
      <c r="D34" s="2" t="str">
        <f>IF('Equity-RELIANCE-EQ-26-02-2026-2'!K33 &gt; AVERAGE('Equity-RELIANCE-EQ-26-02-2026-2'!K:K), "High Volume", "Normal Volume")</f>
        <v>Normal Volume</v>
      </c>
      <c r="E34" s="2" t="str">
        <f>IF('Equity-RELIANCE-EQ-26-02-2026-2'!E33 &gt; 'Equity-RELIANCE-EQ-26-02-2026-2'!H33, "Bulish", "Bearish")</f>
        <v>Bulish</v>
      </c>
    </row>
    <row r="35" spans="1:5" x14ac:dyDescent="0.3">
      <c r="A35" s="5">
        <f>('Equity-RELIANCE-EQ-26-02-2026-2'!E34-'Equity-RELIANCE-EQ-26-02-2026-2'!B34) / 'Equity-RELIANCE-EQ-26-02-2026-2'!B34</f>
        <v>0</v>
      </c>
      <c r="B35" s="6">
        <f>('Equity-RELIANCE-EQ-26-02-2026-2'!C34-'Equity-RELIANCE-EQ-26-02-2026-2'!D34)</f>
        <v>20</v>
      </c>
      <c r="C35" s="5">
        <f>('Equity-RELIANCE-EQ-26-02-2026-2'!E34-'Equity-RELIANCE-EQ-26-02-2026-2'!F34) / 'Equity-RELIANCE-EQ-26-02-2026-2'!F34</f>
        <v>-1.4652014652014652E-3</v>
      </c>
      <c r="D35" s="2" t="str">
        <f>IF('Equity-RELIANCE-EQ-26-02-2026-2'!K34 &gt; AVERAGE('Equity-RELIANCE-EQ-26-02-2026-2'!K:K), "High Volume", "Normal Volume")</f>
        <v>Normal Volume</v>
      </c>
      <c r="E35" s="2" t="str">
        <f>IF('Equity-RELIANCE-EQ-26-02-2026-2'!E34 &gt; 'Equity-RELIANCE-EQ-26-02-2026-2'!H34, "Bulish", "Bearish")</f>
        <v>Bearish</v>
      </c>
    </row>
    <row r="36" spans="1:5" x14ac:dyDescent="0.3">
      <c r="A36" s="5">
        <f>('Equity-RELIANCE-EQ-26-02-2026-2'!E35-'Equity-RELIANCE-EQ-26-02-2026-2'!B35) / 'Equity-RELIANCE-EQ-26-02-2026-2'!B35</f>
        <v>-4.4150110375275938E-3</v>
      </c>
      <c r="B36" s="6">
        <f>('Equity-RELIANCE-EQ-26-02-2026-2'!C35-'Equity-RELIANCE-EQ-26-02-2026-2'!D35)</f>
        <v>20</v>
      </c>
      <c r="C36" s="5">
        <f>('Equity-RELIANCE-EQ-26-02-2026-2'!E35-'Equity-RELIANCE-EQ-26-02-2026-2'!F35) / 'Equity-RELIANCE-EQ-26-02-2026-2'!F35</f>
        <v>-7.3367571533382242E-3</v>
      </c>
      <c r="D36" s="2" t="str">
        <f>IF('Equity-RELIANCE-EQ-26-02-2026-2'!K35 &gt; AVERAGE('Equity-RELIANCE-EQ-26-02-2026-2'!K:K), "High Volume", "Normal Volume")</f>
        <v>High Volume</v>
      </c>
      <c r="E36" s="2" t="str">
        <f>IF('Equity-RELIANCE-EQ-26-02-2026-2'!E35 &gt; 'Equity-RELIANCE-EQ-26-02-2026-2'!H35, "Bulish", "Bearish")</f>
        <v>Bearish</v>
      </c>
    </row>
    <row r="37" spans="1:5" x14ac:dyDescent="0.3">
      <c r="A37" s="5">
        <f>('Equity-RELIANCE-EQ-26-02-2026-2'!E36-'Equity-RELIANCE-EQ-26-02-2026-2'!B36) / 'Equity-RELIANCE-EQ-26-02-2026-2'!B36</f>
        <v>8.8888888888888889E-3</v>
      </c>
      <c r="B37" s="6">
        <f>('Equity-RELIANCE-EQ-26-02-2026-2'!C36-'Equity-RELIANCE-EQ-26-02-2026-2'!D36)</f>
        <v>17</v>
      </c>
      <c r="C37" s="5">
        <f>('Equity-RELIANCE-EQ-26-02-2026-2'!E36-'Equity-RELIANCE-EQ-26-02-2026-2'!F36) / 'Equity-RELIANCE-EQ-26-02-2026-2'!F36</f>
        <v>6.6518847006651885E-3</v>
      </c>
      <c r="D37" s="2" t="str">
        <f>IF('Equity-RELIANCE-EQ-26-02-2026-2'!K36 &gt; AVERAGE('Equity-RELIANCE-EQ-26-02-2026-2'!K:K), "High Volume", "Normal Volume")</f>
        <v>Normal Volume</v>
      </c>
      <c r="E37" s="2" t="str">
        <f>IF('Equity-RELIANCE-EQ-26-02-2026-2'!E36 &gt; 'Equity-RELIANCE-EQ-26-02-2026-2'!H36, "Bulish", "Bearish")</f>
        <v>Bulish</v>
      </c>
    </row>
    <row r="38" spans="1:5" x14ac:dyDescent="0.3">
      <c r="A38" s="5">
        <f>('Equity-RELIANCE-EQ-26-02-2026-2'!E37-'Equity-RELIANCE-EQ-26-02-2026-2'!B37) / 'Equity-RELIANCE-EQ-26-02-2026-2'!B37</f>
        <v>-2.2288261515601782E-3</v>
      </c>
      <c r="B38" s="6">
        <f>('Equity-RELIANCE-EQ-26-02-2026-2'!C37-'Equity-RELIANCE-EQ-26-02-2026-2'!D37)</f>
        <v>15</v>
      </c>
      <c r="C38" s="5">
        <f>('Equity-RELIANCE-EQ-26-02-2026-2'!E37-'Equity-RELIANCE-EQ-26-02-2026-2'!F37) / 'Equity-RELIANCE-EQ-26-02-2026-2'!F37</f>
        <v>-1.3950073421439061E-2</v>
      </c>
      <c r="D38" s="2" t="str">
        <f>IF('Equity-RELIANCE-EQ-26-02-2026-2'!K37 &gt; AVERAGE('Equity-RELIANCE-EQ-26-02-2026-2'!K:K), "High Volume", "Normal Volume")</f>
        <v>Normal Volume</v>
      </c>
      <c r="E38" s="2" t="str">
        <f>IF('Equity-RELIANCE-EQ-26-02-2026-2'!E37 &gt; 'Equity-RELIANCE-EQ-26-02-2026-2'!H37, "Bulish", "Bearish")</f>
        <v>Bearish</v>
      </c>
    </row>
    <row r="39" spans="1:5" x14ac:dyDescent="0.3">
      <c r="A39" s="5">
        <f>('Equity-RELIANCE-EQ-26-02-2026-2'!E38-'Equity-RELIANCE-EQ-26-02-2026-2'!B38) / 'Equity-RELIANCE-EQ-26-02-2026-2'!B38</f>
        <v>-8.9552238805970154E-3</v>
      </c>
      <c r="B39" s="6">
        <f>('Equity-RELIANCE-EQ-26-02-2026-2'!C38-'Equity-RELIANCE-EQ-26-02-2026-2'!D38)</f>
        <v>21</v>
      </c>
      <c r="C39" s="5">
        <f>('Equity-RELIANCE-EQ-26-02-2026-2'!E38-'Equity-RELIANCE-EQ-26-02-2026-2'!F38) / 'Equity-RELIANCE-EQ-26-02-2026-2'!F38</f>
        <v>-1.1169024571854059E-2</v>
      </c>
      <c r="D39" s="2" t="str">
        <f>IF('Equity-RELIANCE-EQ-26-02-2026-2'!K38 &gt; AVERAGE('Equity-RELIANCE-EQ-26-02-2026-2'!K:K), "High Volume", "Normal Volume")</f>
        <v>Normal Volume</v>
      </c>
      <c r="E39" s="2" t="str">
        <f>IF('Equity-RELIANCE-EQ-26-02-2026-2'!E38 &gt; 'Equity-RELIANCE-EQ-26-02-2026-2'!H38, "Bulish", "Bearish")</f>
        <v>Bearish</v>
      </c>
    </row>
    <row r="40" spans="1:5" x14ac:dyDescent="0.3">
      <c r="A40" s="5">
        <f>('Equity-RELIANCE-EQ-26-02-2026-2'!E39-'Equity-RELIANCE-EQ-26-02-2026-2'!B39) / 'Equity-RELIANCE-EQ-26-02-2026-2'!B39</f>
        <v>4.0365575019040367E-2</v>
      </c>
      <c r="B40" s="6">
        <f>('Equity-RELIANCE-EQ-26-02-2026-2'!C39-'Equity-RELIANCE-EQ-26-02-2026-2'!D39)</f>
        <v>61</v>
      </c>
      <c r="C40" s="5">
        <f>('Equity-RELIANCE-EQ-26-02-2026-2'!E39-'Equity-RELIANCE-EQ-26-02-2026-2'!F39) / 'Equity-RELIANCE-EQ-26-02-2026-2'!F39</f>
        <v>2.86144578313253E-2</v>
      </c>
      <c r="D40" s="2" t="str">
        <f>IF('Equity-RELIANCE-EQ-26-02-2026-2'!K39 &gt; AVERAGE('Equity-RELIANCE-EQ-26-02-2026-2'!K:K), "High Volume", "Normal Volume")</f>
        <v>High Volume</v>
      </c>
      <c r="E40" s="2" t="str">
        <f>IF('Equity-RELIANCE-EQ-26-02-2026-2'!E39 &gt; 'Equity-RELIANCE-EQ-26-02-2026-2'!H39, "Bulish", "Bearish")</f>
        <v>Bulish</v>
      </c>
    </row>
    <row r="41" spans="1:5" x14ac:dyDescent="0.3">
      <c r="A41" s="5">
        <f>('Equity-RELIANCE-EQ-26-02-2026-2'!E40-'Equity-RELIANCE-EQ-26-02-2026-2'!B40) / 'Equity-RELIANCE-EQ-26-02-2026-2'!B40</f>
        <v>2.2827687776141383E-2</v>
      </c>
      <c r="B41" s="6">
        <f>('Equity-RELIANCE-EQ-26-02-2026-2'!C40-'Equity-RELIANCE-EQ-26-02-2026-2'!D40)</f>
        <v>38</v>
      </c>
      <c r="C41" s="5">
        <f>('Equity-RELIANCE-EQ-26-02-2026-2'!E40-'Equity-RELIANCE-EQ-26-02-2026-2'!F40) / 'Equity-RELIANCE-EQ-26-02-2026-2'!F40</f>
        <v>1.6837481698389459E-2</v>
      </c>
      <c r="D41" s="2" t="str">
        <f>IF('Equity-RELIANCE-EQ-26-02-2026-2'!K40 &gt; AVERAGE('Equity-RELIANCE-EQ-26-02-2026-2'!K:K), "High Volume", "Normal Volume")</f>
        <v>High Volume</v>
      </c>
      <c r="E41" s="2" t="str">
        <f>IF('Equity-RELIANCE-EQ-26-02-2026-2'!E40 &gt; 'Equity-RELIANCE-EQ-26-02-2026-2'!H40, "Bulish", "Bearish")</f>
        <v>Bulish</v>
      </c>
    </row>
    <row r="42" spans="1:5" x14ac:dyDescent="0.3">
      <c r="A42" s="5">
        <f>('Equity-RELIANCE-EQ-26-02-2026-2'!E41-'Equity-RELIANCE-EQ-26-02-2026-2'!B41) / 'Equity-RELIANCE-EQ-26-02-2026-2'!B41</f>
        <v>2.3706896551724137E-2</v>
      </c>
      <c r="B42" s="6">
        <f>('Equity-RELIANCE-EQ-26-02-2026-2'!C41-'Equity-RELIANCE-EQ-26-02-2026-2'!D41)</f>
        <v>43</v>
      </c>
      <c r="C42" s="5">
        <f>('Equity-RELIANCE-EQ-26-02-2026-2'!E41-'Equity-RELIANCE-EQ-26-02-2026-2'!F41) / 'Equity-RELIANCE-EQ-26-02-2026-2'!F41</f>
        <v>2.591792656587473E-2</v>
      </c>
      <c r="D42" s="2" t="str">
        <f>IF('Equity-RELIANCE-EQ-26-02-2026-2'!K41 &gt; AVERAGE('Equity-RELIANCE-EQ-26-02-2026-2'!K:K), "High Volume", "Normal Volume")</f>
        <v>High Volume</v>
      </c>
      <c r="E42" s="2" t="str">
        <f>IF('Equity-RELIANCE-EQ-26-02-2026-2'!E41 &gt; 'Equity-RELIANCE-EQ-26-02-2026-2'!H41, "Bulish", "Bearish")</f>
        <v>Bulish</v>
      </c>
    </row>
    <row r="43" spans="1:5" x14ac:dyDescent="0.3">
      <c r="A43" s="5">
        <f>('Equity-RELIANCE-EQ-26-02-2026-2'!E42-'Equity-RELIANCE-EQ-26-02-2026-2'!B42) / 'Equity-RELIANCE-EQ-26-02-2026-2'!B42</f>
        <v>1.5613910574875798E-2</v>
      </c>
      <c r="B43" s="6">
        <f>('Equity-RELIANCE-EQ-26-02-2026-2'!C42-'Equity-RELIANCE-EQ-26-02-2026-2'!D42)</f>
        <v>44</v>
      </c>
      <c r="C43" s="5">
        <f>('Equity-RELIANCE-EQ-26-02-2026-2'!E42-'Equity-RELIANCE-EQ-26-02-2026-2'!F42) / 'Equity-RELIANCE-EQ-26-02-2026-2'!F42</f>
        <v>4.2105263157894736E-3</v>
      </c>
      <c r="D43" s="2" t="str">
        <f>IF('Equity-RELIANCE-EQ-26-02-2026-2'!K42 &gt; AVERAGE('Equity-RELIANCE-EQ-26-02-2026-2'!K:K), "High Volume", "Normal Volume")</f>
        <v>High Volume</v>
      </c>
      <c r="E43" s="2" t="str">
        <f>IF('Equity-RELIANCE-EQ-26-02-2026-2'!E42 &gt; 'Equity-RELIANCE-EQ-26-02-2026-2'!H42, "Bulish", "Bearish")</f>
        <v>Bulish</v>
      </c>
    </row>
    <row r="44" spans="1:5" x14ac:dyDescent="0.3">
      <c r="A44" s="5">
        <f>('Equity-RELIANCE-EQ-26-02-2026-2'!E43-'Equity-RELIANCE-EQ-26-02-2026-2'!B43) / 'Equity-RELIANCE-EQ-26-02-2026-2'!B43</f>
        <v>2.09351011863224E-2</v>
      </c>
      <c r="B44" s="6">
        <f>('Equity-RELIANCE-EQ-26-02-2026-2'!C43-'Equity-RELIANCE-EQ-26-02-2026-2'!D43)</f>
        <v>34</v>
      </c>
      <c r="C44" s="5">
        <f>('Equity-RELIANCE-EQ-26-02-2026-2'!E43-'Equity-RELIANCE-EQ-26-02-2026-2'!F43) / 'Equity-RELIANCE-EQ-26-02-2026-2'!F43</f>
        <v>2.2361984626135568E-2</v>
      </c>
      <c r="D44" s="2" t="str">
        <f>IF('Equity-RELIANCE-EQ-26-02-2026-2'!K43 &gt; AVERAGE('Equity-RELIANCE-EQ-26-02-2026-2'!K:K), "High Volume", "Normal Volume")</f>
        <v>High Volume</v>
      </c>
      <c r="E44" s="2" t="str">
        <f>IF('Equity-RELIANCE-EQ-26-02-2026-2'!E43 &gt; 'Equity-RELIANCE-EQ-26-02-2026-2'!H43, "Bulish", "Bearish")</f>
        <v>Bulish</v>
      </c>
    </row>
    <row r="45" spans="1:5" x14ac:dyDescent="0.3">
      <c r="A45" s="5">
        <f>('Equity-RELIANCE-EQ-26-02-2026-2'!E44-'Equity-RELIANCE-EQ-26-02-2026-2'!B44) / 'Equity-RELIANCE-EQ-26-02-2026-2'!B44</f>
        <v>2.7397260273972603E-3</v>
      </c>
      <c r="B45" s="6">
        <f>('Equity-RELIANCE-EQ-26-02-2026-2'!C44-'Equity-RELIANCE-EQ-26-02-2026-2'!D44)</f>
        <v>23</v>
      </c>
      <c r="C45" s="5">
        <f>('Equity-RELIANCE-EQ-26-02-2026-2'!E44-'Equity-RELIANCE-EQ-26-02-2026-2'!F44) / 'Equity-RELIANCE-EQ-26-02-2026-2'!F44</f>
        <v>6.8352699931647305E-4</v>
      </c>
      <c r="D45" s="2" t="str">
        <f>IF('Equity-RELIANCE-EQ-26-02-2026-2'!K44 &gt; AVERAGE('Equity-RELIANCE-EQ-26-02-2026-2'!K:K), "High Volume", "Normal Volume")</f>
        <v>High Volume</v>
      </c>
      <c r="E45" s="2" t="str">
        <f>IF('Equity-RELIANCE-EQ-26-02-2026-2'!E44 &gt; 'Equity-RELIANCE-EQ-26-02-2026-2'!H44, "Bulish", "Bearish")</f>
        <v>Bulish</v>
      </c>
    </row>
    <row r="46" spans="1:5" x14ac:dyDescent="0.3">
      <c r="A46" s="5">
        <f>('Equity-RELIANCE-EQ-26-02-2026-2'!E45-'Equity-RELIANCE-EQ-26-02-2026-2'!B45) / 'Equity-RELIANCE-EQ-26-02-2026-2'!B45</f>
        <v>-1.7088174982911826E-2</v>
      </c>
      <c r="B46" s="6">
        <f>('Equity-RELIANCE-EQ-26-02-2026-2'!C45-'Equity-RELIANCE-EQ-26-02-2026-2'!D45)</f>
        <v>45</v>
      </c>
      <c r="C46" s="5">
        <f>('Equity-RELIANCE-EQ-26-02-2026-2'!E45-'Equity-RELIANCE-EQ-26-02-2026-2'!F45) / 'Equity-RELIANCE-EQ-26-02-2026-2'!F45</f>
        <v>-1.7759562841530054E-2</v>
      </c>
      <c r="D46" s="2" t="str">
        <f>IF('Equity-RELIANCE-EQ-26-02-2026-2'!K45 &gt; AVERAGE('Equity-RELIANCE-EQ-26-02-2026-2'!K:K), "High Volume", "Normal Volume")</f>
        <v>Normal Volume</v>
      </c>
      <c r="E46" s="2" t="str">
        <f>IF('Equity-RELIANCE-EQ-26-02-2026-2'!E45 &gt; 'Equity-RELIANCE-EQ-26-02-2026-2'!H45, "Bulish", "Bearish")</f>
        <v>Bearish</v>
      </c>
    </row>
    <row r="47" spans="1:5" x14ac:dyDescent="0.3">
      <c r="A47" s="5">
        <f>('Equity-RELIANCE-EQ-26-02-2026-2'!E46-'Equity-RELIANCE-EQ-26-02-2026-2'!B46) / 'Equity-RELIANCE-EQ-26-02-2026-2'!B46</f>
        <v>-2.0847810979847115E-3</v>
      </c>
      <c r="B47" s="6">
        <f>('Equity-RELIANCE-EQ-26-02-2026-2'!C46-'Equity-RELIANCE-EQ-26-02-2026-2'!D46)</f>
        <v>20</v>
      </c>
      <c r="C47" s="5">
        <f>('Equity-RELIANCE-EQ-26-02-2026-2'!E46-'Equity-RELIANCE-EQ-26-02-2026-2'!F46) / 'Equity-RELIANCE-EQ-26-02-2026-2'!F46</f>
        <v>-1.3908205841446453E-3</v>
      </c>
      <c r="D47" s="2" t="str">
        <f>IF('Equity-RELIANCE-EQ-26-02-2026-2'!K46 &gt; AVERAGE('Equity-RELIANCE-EQ-26-02-2026-2'!K:K), "High Volume", "Normal Volume")</f>
        <v>Normal Volume</v>
      </c>
      <c r="E47" s="2" t="str">
        <f>IF('Equity-RELIANCE-EQ-26-02-2026-2'!E46 &gt; 'Equity-RELIANCE-EQ-26-02-2026-2'!H46, "Bulish", "Bearish")</f>
        <v>Bearish</v>
      </c>
    </row>
    <row r="48" spans="1:5" x14ac:dyDescent="0.3">
      <c r="A48" s="5">
        <f>('Equity-RELIANCE-EQ-26-02-2026-2'!E47-'Equity-RELIANCE-EQ-26-02-2026-2'!B47) / 'Equity-RELIANCE-EQ-26-02-2026-2'!B47</f>
        <v>6.311360448807854E-3</v>
      </c>
      <c r="B48" s="6">
        <f>('Equity-RELIANCE-EQ-26-02-2026-2'!C47-'Equity-RELIANCE-EQ-26-02-2026-2'!D47)</f>
        <v>25</v>
      </c>
      <c r="C48" s="5">
        <f>('Equity-RELIANCE-EQ-26-02-2026-2'!E47-'Equity-RELIANCE-EQ-26-02-2026-2'!F47) / 'Equity-RELIANCE-EQ-26-02-2026-2'!F47</f>
        <v>-6.9637883008356546E-4</v>
      </c>
      <c r="D48" s="2" t="str">
        <f>IF('Equity-RELIANCE-EQ-26-02-2026-2'!K47 &gt; AVERAGE('Equity-RELIANCE-EQ-26-02-2026-2'!K:K), "High Volume", "Normal Volume")</f>
        <v>Normal Volume</v>
      </c>
      <c r="E48" s="2" t="str">
        <f>IF('Equity-RELIANCE-EQ-26-02-2026-2'!E47 &gt; 'Equity-RELIANCE-EQ-26-02-2026-2'!H47, "Bulish", "Bearish")</f>
        <v>Bulish</v>
      </c>
    </row>
    <row r="49" spans="1:5" x14ac:dyDescent="0.3">
      <c r="A49" s="5">
        <f>('Equity-RELIANCE-EQ-26-02-2026-2'!E48-'Equity-RELIANCE-EQ-26-02-2026-2'!B48) / 'Equity-RELIANCE-EQ-26-02-2026-2'!B48</f>
        <v>-2.2535211267605635E-2</v>
      </c>
      <c r="B49" s="6">
        <f>('Equity-RELIANCE-EQ-26-02-2026-2'!C48-'Equity-RELIANCE-EQ-26-02-2026-2'!D48)</f>
        <v>46</v>
      </c>
      <c r="C49" s="5">
        <f>('Equity-RELIANCE-EQ-26-02-2026-2'!E48-'Equity-RELIANCE-EQ-26-02-2026-2'!F48) / 'Equity-RELIANCE-EQ-26-02-2026-2'!F48</f>
        <v>-3.2752613240418116E-2</v>
      </c>
      <c r="D49" s="2" t="str">
        <f>IF('Equity-RELIANCE-EQ-26-02-2026-2'!K48 &gt; AVERAGE('Equity-RELIANCE-EQ-26-02-2026-2'!K:K), "High Volume", "Normal Volume")</f>
        <v>Normal Volume</v>
      </c>
      <c r="E49" s="2" t="str">
        <f>IF('Equity-RELIANCE-EQ-26-02-2026-2'!E48 &gt; 'Equity-RELIANCE-EQ-26-02-2026-2'!H48, "Bulish", "Bearish")</f>
        <v>Bearish</v>
      </c>
    </row>
    <row r="50" spans="1:5" x14ac:dyDescent="0.3">
      <c r="A50" s="5">
        <f>('Equity-RELIANCE-EQ-26-02-2026-2'!E49-'Equity-RELIANCE-EQ-26-02-2026-2'!B49) / 'Equity-RELIANCE-EQ-26-02-2026-2'!B49</f>
        <v>-2.0114942528735632E-2</v>
      </c>
      <c r="B50" s="6">
        <f>('Equity-RELIANCE-EQ-26-02-2026-2'!C49-'Equity-RELIANCE-EQ-26-02-2026-2'!D49)</f>
        <v>34</v>
      </c>
      <c r="C50" s="5">
        <f>('Equity-RELIANCE-EQ-26-02-2026-2'!E49-'Equity-RELIANCE-EQ-26-02-2026-2'!F49) / 'Equity-RELIANCE-EQ-26-02-2026-2'!F49</f>
        <v>-1.7291066282420751E-2</v>
      </c>
      <c r="D50" s="2" t="str">
        <f>IF('Equity-RELIANCE-EQ-26-02-2026-2'!K49 &gt; AVERAGE('Equity-RELIANCE-EQ-26-02-2026-2'!K:K), "High Volume", "Normal Volume")</f>
        <v>High Volume</v>
      </c>
      <c r="E50" s="2" t="str">
        <f>IF('Equity-RELIANCE-EQ-26-02-2026-2'!E49 &gt; 'Equity-RELIANCE-EQ-26-02-2026-2'!H49, "Bulish", "Bearish")</f>
        <v>Bearish</v>
      </c>
    </row>
    <row r="51" spans="1:5" x14ac:dyDescent="0.3">
      <c r="A51" s="5">
        <f>('Equity-RELIANCE-EQ-26-02-2026-2'!E50-'Equity-RELIANCE-EQ-26-02-2026-2'!B50) / 'Equity-RELIANCE-EQ-26-02-2026-2'!B50</f>
        <v>-1.4695077149155032E-3</v>
      </c>
      <c r="B51" s="6">
        <f>('Equity-RELIANCE-EQ-26-02-2026-2'!C50-'Equity-RELIANCE-EQ-26-02-2026-2'!D50)</f>
        <v>20</v>
      </c>
      <c r="C51" s="5">
        <f>('Equity-RELIANCE-EQ-26-02-2026-2'!E50-'Equity-RELIANCE-EQ-26-02-2026-2'!F50) / 'Equity-RELIANCE-EQ-26-02-2026-2'!F50</f>
        <v>-3.6656891495601175E-3</v>
      </c>
      <c r="D51" s="2" t="str">
        <f>IF('Equity-RELIANCE-EQ-26-02-2026-2'!K50 &gt; AVERAGE('Equity-RELIANCE-EQ-26-02-2026-2'!K:K), "High Volume", "Normal Volume")</f>
        <v>Normal Volume</v>
      </c>
      <c r="E51" s="2" t="str">
        <f>IF('Equity-RELIANCE-EQ-26-02-2026-2'!E50 &gt; 'Equity-RELIANCE-EQ-26-02-2026-2'!H50, "Bulish", "Bearish")</f>
        <v>Bearish</v>
      </c>
    </row>
    <row r="52" spans="1:5" x14ac:dyDescent="0.3">
      <c r="A52" s="5">
        <f>('Equity-RELIANCE-EQ-26-02-2026-2'!E51-'Equity-RELIANCE-EQ-26-02-2026-2'!B51) / 'Equity-RELIANCE-EQ-26-02-2026-2'!B51</f>
        <v>-2.1978021978021978E-3</v>
      </c>
      <c r="B52" s="6">
        <f>('Equity-RELIANCE-EQ-26-02-2026-2'!C51-'Equity-RELIANCE-EQ-26-02-2026-2'!D51)</f>
        <v>20</v>
      </c>
      <c r="C52" s="5">
        <f>('Equity-RELIANCE-EQ-26-02-2026-2'!E51-'Equity-RELIANCE-EQ-26-02-2026-2'!F51) / 'Equity-RELIANCE-EQ-26-02-2026-2'!F51</f>
        <v>2.2075055187637969E-3</v>
      </c>
      <c r="D52" s="2" t="str">
        <f>IF('Equity-RELIANCE-EQ-26-02-2026-2'!K51 &gt; AVERAGE('Equity-RELIANCE-EQ-26-02-2026-2'!K:K), "High Volume", "Normal Volume")</f>
        <v>Normal Volume</v>
      </c>
      <c r="E52" s="2" t="str">
        <f>IF('Equity-RELIANCE-EQ-26-02-2026-2'!E51 &gt; 'Equity-RELIANCE-EQ-26-02-2026-2'!H51, "Bulish", "Bearish")</f>
        <v>Bearish</v>
      </c>
    </row>
    <row r="53" spans="1:5" x14ac:dyDescent="0.3">
      <c r="A53" s="5">
        <f>('Equity-RELIANCE-EQ-26-02-2026-2'!E52-'Equity-RELIANCE-EQ-26-02-2026-2'!B52) / 'Equity-RELIANCE-EQ-26-02-2026-2'!B52</f>
        <v>-1.5475313190862197E-2</v>
      </c>
      <c r="B53" s="6">
        <f>('Equity-RELIANCE-EQ-26-02-2026-2'!C52-'Equity-RELIANCE-EQ-26-02-2026-2'!D52)</f>
        <v>36</v>
      </c>
      <c r="C53" s="5">
        <f>('Equity-RELIANCE-EQ-26-02-2026-2'!E52-'Equity-RELIANCE-EQ-26-02-2026-2'!F52) / 'Equity-RELIANCE-EQ-26-02-2026-2'!F52</f>
        <v>-1.908957415565345E-2</v>
      </c>
      <c r="D53" s="2" t="str">
        <f>IF('Equity-RELIANCE-EQ-26-02-2026-2'!K52 &gt; AVERAGE('Equity-RELIANCE-EQ-26-02-2026-2'!K:K), "High Volume", "Normal Volume")</f>
        <v>High Volume</v>
      </c>
      <c r="E53" s="2" t="str">
        <f>IF('Equity-RELIANCE-EQ-26-02-2026-2'!E52 &gt; 'Equity-RELIANCE-EQ-26-02-2026-2'!H52, "Bulish", "Bearish")</f>
        <v>Bearish</v>
      </c>
    </row>
    <row r="54" spans="1:5" x14ac:dyDescent="0.3">
      <c r="A54" s="5">
        <f>('Equity-RELIANCE-EQ-26-02-2026-2'!E53-'Equity-RELIANCE-EQ-26-02-2026-2'!B53) / 'Equity-RELIANCE-EQ-26-02-2026-2'!B53</f>
        <v>1.4992503748125937E-3</v>
      </c>
      <c r="B54" s="6">
        <f>('Equity-RELIANCE-EQ-26-02-2026-2'!C53-'Equity-RELIANCE-EQ-26-02-2026-2'!D53)</f>
        <v>23</v>
      </c>
      <c r="C54" s="5">
        <f>('Equity-RELIANCE-EQ-26-02-2026-2'!E53-'Equity-RELIANCE-EQ-26-02-2026-2'!F53) / 'Equity-RELIANCE-EQ-26-02-2026-2'!F53</f>
        <v>0</v>
      </c>
      <c r="D54" s="2" t="str">
        <f>IF('Equity-RELIANCE-EQ-26-02-2026-2'!K53 &gt; AVERAGE('Equity-RELIANCE-EQ-26-02-2026-2'!K:K), "High Volume", "Normal Volume")</f>
        <v>Normal Volume</v>
      </c>
      <c r="E54" s="2" t="str">
        <f>IF('Equity-RELIANCE-EQ-26-02-2026-2'!E53 &gt; 'Equity-RELIANCE-EQ-26-02-2026-2'!H53, "Bulish", "Bearish")</f>
        <v>Bulish</v>
      </c>
    </row>
    <row r="55" spans="1:5" x14ac:dyDescent="0.3">
      <c r="A55" s="5">
        <f>('Equity-RELIANCE-EQ-26-02-2026-2'!E54-'Equity-RELIANCE-EQ-26-02-2026-2'!B54) / 'Equity-RELIANCE-EQ-26-02-2026-2'!B54</f>
        <v>-1.1949215832710979E-2</v>
      </c>
      <c r="B55" s="6">
        <f>('Equity-RELIANCE-EQ-26-02-2026-2'!C54-'Equity-RELIANCE-EQ-26-02-2026-2'!D54)</f>
        <v>26</v>
      </c>
      <c r="C55" s="5">
        <f>('Equity-RELIANCE-EQ-26-02-2026-2'!E54-'Equity-RELIANCE-EQ-26-02-2026-2'!F54) / 'Equity-RELIANCE-EQ-26-02-2026-2'!F54</f>
        <v>-9.730538922155689E-3</v>
      </c>
      <c r="D55" s="2" t="str">
        <f>IF('Equity-RELIANCE-EQ-26-02-2026-2'!K54 &gt; AVERAGE('Equity-RELIANCE-EQ-26-02-2026-2'!K:K), "High Volume", "Normal Volume")</f>
        <v>High Volume</v>
      </c>
      <c r="E55" s="2" t="str">
        <f>IF('Equity-RELIANCE-EQ-26-02-2026-2'!E54 &gt; 'Equity-RELIANCE-EQ-26-02-2026-2'!H54, "Bulish", "Bearish")</f>
        <v>Bearish</v>
      </c>
    </row>
    <row r="56" spans="1:5" x14ac:dyDescent="0.3">
      <c r="A56" s="5">
        <f>('Equity-RELIANCE-EQ-26-02-2026-2'!E55-'Equity-RELIANCE-EQ-26-02-2026-2'!B55) / 'Equity-RELIANCE-EQ-26-02-2026-2'!B55</f>
        <v>3.1084154662623199E-2</v>
      </c>
      <c r="B56" s="6">
        <f>('Equity-RELIANCE-EQ-26-02-2026-2'!C55-'Equity-RELIANCE-EQ-26-02-2026-2'!D55)</f>
        <v>50</v>
      </c>
      <c r="C56" s="5">
        <f>('Equity-RELIANCE-EQ-26-02-2026-2'!E55-'Equity-RELIANCE-EQ-26-02-2026-2'!F55) / 'Equity-RELIANCE-EQ-26-02-2026-2'!F55</f>
        <v>2.7966742252456538E-2</v>
      </c>
      <c r="D56" s="2" t="str">
        <f>IF('Equity-RELIANCE-EQ-26-02-2026-2'!K55 &gt; AVERAGE('Equity-RELIANCE-EQ-26-02-2026-2'!K:K), "High Volume", "Normal Volume")</f>
        <v>Normal Volume</v>
      </c>
      <c r="E56" s="2" t="str">
        <f>IF('Equity-RELIANCE-EQ-26-02-2026-2'!E55 &gt; 'Equity-RELIANCE-EQ-26-02-2026-2'!H55, "Bulish", "Bearish")</f>
        <v>Bulish</v>
      </c>
    </row>
    <row r="57" spans="1:5" x14ac:dyDescent="0.3">
      <c r="A57" s="5">
        <f>('Equity-RELIANCE-EQ-26-02-2026-2'!E56-'Equity-RELIANCE-EQ-26-02-2026-2'!B56) / 'Equity-RELIANCE-EQ-26-02-2026-2'!B56</f>
        <v>-1.2435991221653255E-2</v>
      </c>
      <c r="B57" s="6">
        <f>('Equity-RELIANCE-EQ-26-02-2026-2'!C56-'Equity-RELIANCE-EQ-26-02-2026-2'!D56)</f>
        <v>26</v>
      </c>
      <c r="C57" s="5">
        <f>('Equity-RELIANCE-EQ-26-02-2026-2'!E56-'Equity-RELIANCE-EQ-26-02-2026-2'!F56) / 'Equity-RELIANCE-EQ-26-02-2026-2'!F56</f>
        <v>-7.3529411764705881E-3</v>
      </c>
      <c r="D57" s="2" t="str">
        <f>IF('Equity-RELIANCE-EQ-26-02-2026-2'!K56 &gt; AVERAGE('Equity-RELIANCE-EQ-26-02-2026-2'!K:K), "High Volume", "Normal Volume")</f>
        <v>Normal Volume</v>
      </c>
      <c r="E57" s="2" t="str">
        <f>IF('Equity-RELIANCE-EQ-26-02-2026-2'!E56 &gt; 'Equity-RELIANCE-EQ-26-02-2026-2'!H56, "Bulish", "Bearish")</f>
        <v>Bearish</v>
      </c>
    </row>
    <row r="58" spans="1:5" x14ac:dyDescent="0.3">
      <c r="A58" s="5">
        <f>('Equity-RELIANCE-EQ-26-02-2026-2'!E57-'Equity-RELIANCE-EQ-26-02-2026-2'!B57) / 'Equity-RELIANCE-EQ-26-02-2026-2'!B57</f>
        <v>3.7037037037037038E-3</v>
      </c>
      <c r="B58" s="6">
        <f>('Equity-RELIANCE-EQ-26-02-2026-2'!C57-'Equity-RELIANCE-EQ-26-02-2026-2'!D57)</f>
        <v>18</v>
      </c>
      <c r="C58" s="5">
        <f>('Equity-RELIANCE-EQ-26-02-2026-2'!E57-'Equity-RELIANCE-EQ-26-02-2026-2'!F57) / 'Equity-RELIANCE-EQ-26-02-2026-2'!F57</f>
        <v>3.7037037037037038E-3</v>
      </c>
      <c r="D58" s="2" t="str">
        <f>IF('Equity-RELIANCE-EQ-26-02-2026-2'!K57 &gt; AVERAGE('Equity-RELIANCE-EQ-26-02-2026-2'!K:K), "High Volume", "Normal Volume")</f>
        <v>Normal Volume</v>
      </c>
      <c r="E58" s="2" t="str">
        <f>IF('Equity-RELIANCE-EQ-26-02-2026-2'!E57 &gt; 'Equity-RELIANCE-EQ-26-02-2026-2'!H57, "Bulish", "Bearish")</f>
        <v>Bearish</v>
      </c>
    </row>
    <row r="59" spans="1:5" x14ac:dyDescent="0.3">
      <c r="A59" s="5">
        <f>('Equity-RELIANCE-EQ-26-02-2026-2'!E58-'Equity-RELIANCE-EQ-26-02-2026-2'!B58) / 'Equity-RELIANCE-EQ-26-02-2026-2'!B58</f>
        <v>0</v>
      </c>
      <c r="B59" s="6">
        <f>('Equity-RELIANCE-EQ-26-02-2026-2'!C58-'Equity-RELIANCE-EQ-26-02-2026-2'!D58)</f>
        <v>14</v>
      </c>
      <c r="C59" s="5">
        <f>('Equity-RELIANCE-EQ-26-02-2026-2'!E58-'Equity-RELIANCE-EQ-26-02-2026-2'!F58) / 'Equity-RELIANCE-EQ-26-02-2026-2'!F58</f>
        <v>8.8560885608856086E-3</v>
      </c>
      <c r="D59" s="2" t="str">
        <f>IF('Equity-RELIANCE-EQ-26-02-2026-2'!K58 &gt; AVERAGE('Equity-RELIANCE-EQ-26-02-2026-2'!K:K), "High Volume", "Normal Volume")</f>
        <v>Normal Volume</v>
      </c>
      <c r="E59" s="2" t="str">
        <f>IF('Equity-RELIANCE-EQ-26-02-2026-2'!E58 &gt; 'Equity-RELIANCE-EQ-26-02-2026-2'!H58, "Bulish", "Bearish")</f>
        <v>Bulish</v>
      </c>
    </row>
  </sheetData>
  <autoFilter ref="A2:E59" xr:uid="{C7081E2E-2DB8-4C42-9CE2-333B468ACF64}"/>
  <mergeCells count="1">
    <mergeCell ref="A1:E1"/>
  </mergeCells>
  <conditionalFormatting sqref="D3:E59">
    <cfRule type="colorScale" priority="1">
      <colorScale>
        <cfvo type="min"/>
        <cfvo type="max"/>
        <color rgb="FFFF7128"/>
        <color theme="9"/>
      </colorScale>
    </cfRule>
  </conditionalFormatting>
  <conditionalFormatting sqref="E1:E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59">
    <cfRule type="colorScale" priority="3">
      <colorScale>
        <cfvo type="min"/>
        <cfvo type="max"/>
        <color rgb="FFFF7128"/>
        <color rgb="FF00B050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59">
    <cfRule type="colorScale" priority="5">
      <colorScale>
        <cfvo type="min"/>
        <cfvo type="max"/>
        <color rgb="FFFF7128"/>
        <color rgb="FF00B050"/>
      </colorScale>
    </cfRule>
    <cfRule type="colorScale" priority="6">
      <colorScale>
        <cfvo type="min"/>
        <cfvo type="max"/>
        <color rgb="FFFF0000"/>
        <color theme="9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59947-F572-46FA-90DF-03B3DC4A666A}">
  <dimension ref="A1:R37"/>
  <sheetViews>
    <sheetView showGridLines="0" tabSelected="1" zoomScale="77" zoomScaleNormal="96" workbookViewId="0">
      <selection activeCell="Q11" sqref="Q11"/>
    </sheetView>
  </sheetViews>
  <sheetFormatPr defaultRowHeight="14.4" x14ac:dyDescent="0.3"/>
  <cols>
    <col min="2" max="2" width="15.21875" bestFit="1" customWidth="1"/>
    <col min="3" max="3" width="24.88671875" bestFit="1" customWidth="1"/>
    <col min="4" max="4" width="8.109375" customWidth="1"/>
    <col min="5" max="5" width="3.44140625" customWidth="1"/>
    <col min="6" max="6" width="22" bestFit="1" customWidth="1"/>
    <col min="7" max="7" width="35.44140625" bestFit="1" customWidth="1"/>
    <col min="8" max="8" width="17.5546875" bestFit="1" customWidth="1"/>
    <col min="9" max="9" width="15.21875" bestFit="1" customWidth="1"/>
    <col min="10" max="10" width="12.109375" bestFit="1" customWidth="1"/>
    <col min="12" max="12" width="10.88671875" customWidth="1"/>
  </cols>
  <sheetData>
    <row r="1" spans="1:18" ht="18.600000000000001" customHeight="1" x14ac:dyDescent="0.3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8" ht="28.8" x14ac:dyDescent="0.3">
      <c r="A2" s="34" t="s">
        <v>22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</row>
    <row r="3" spans="1:18" ht="14.4" customHeight="1" thickBot="1" x14ac:dyDescent="0.6">
      <c r="A3" s="14"/>
      <c r="B3" s="14"/>
      <c r="C3" s="14"/>
      <c r="D3" s="15"/>
      <c r="E3" s="15"/>
      <c r="F3" s="15"/>
      <c r="G3" s="15"/>
      <c r="H3" s="15"/>
      <c r="I3" s="15"/>
      <c r="J3" s="15"/>
      <c r="K3" s="15"/>
      <c r="L3" s="14"/>
      <c r="M3" s="14"/>
      <c r="N3" s="14"/>
      <c r="O3" s="14"/>
      <c r="P3" s="14"/>
    </row>
    <row r="4" spans="1:18" ht="23.4" x14ac:dyDescent="0.45">
      <c r="A4" s="14"/>
      <c r="B4" s="14"/>
      <c r="C4" s="14"/>
      <c r="D4" s="14"/>
      <c r="E4" s="14"/>
      <c r="F4" s="22" t="s">
        <v>24</v>
      </c>
      <c r="G4" s="23" t="s">
        <v>25</v>
      </c>
      <c r="H4" s="14"/>
      <c r="I4" s="10"/>
      <c r="J4" s="11"/>
      <c r="K4" s="14"/>
      <c r="L4" s="14"/>
      <c r="M4" s="14"/>
      <c r="N4" s="14"/>
      <c r="O4" s="14"/>
      <c r="P4" s="14"/>
    </row>
    <row r="5" spans="1:18" ht="21" x14ac:dyDescent="0.4">
      <c r="A5" s="14"/>
      <c r="B5" s="7"/>
      <c r="C5" s="10"/>
      <c r="D5" s="16"/>
      <c r="E5" s="17"/>
      <c r="F5" s="36" t="s">
        <v>19</v>
      </c>
      <c r="G5" s="38" t="str">
        <f>IF(AVERAGE('Equity-RELIANCE-EQ-26-02-2026-2'!E2:E58) &gt; AVERAGE('Equity-RELIANCE-EQ-26-02-2026-2'!H2:H58), "Overall Bulish Trend", "Overall Bearish Trend")</f>
        <v>Overall Bulish Trend</v>
      </c>
      <c r="H5" s="17"/>
      <c r="I5" s="10"/>
      <c r="J5" s="12"/>
      <c r="K5" s="14"/>
      <c r="L5" s="14"/>
      <c r="M5" s="14"/>
      <c r="N5" s="14"/>
      <c r="O5" s="14"/>
      <c r="P5" s="14"/>
    </row>
    <row r="6" spans="1:18" ht="18" x14ac:dyDescent="0.35">
      <c r="A6" s="14"/>
      <c r="B6" s="10"/>
      <c r="C6" s="11"/>
      <c r="D6" s="14"/>
      <c r="E6" s="18"/>
      <c r="F6" s="37"/>
      <c r="G6" s="39"/>
      <c r="H6" s="18"/>
      <c r="I6" s="10"/>
      <c r="J6" s="8"/>
      <c r="K6" s="14"/>
      <c r="L6" s="14"/>
      <c r="M6" s="14"/>
      <c r="N6" s="14"/>
      <c r="O6" s="14"/>
      <c r="P6" s="14"/>
    </row>
    <row r="7" spans="1:18" ht="18" x14ac:dyDescent="0.35">
      <c r="A7" s="14"/>
      <c r="B7" s="7"/>
      <c r="C7" s="8"/>
      <c r="D7" s="14"/>
      <c r="E7" s="18"/>
      <c r="F7" s="36" t="s">
        <v>20</v>
      </c>
      <c r="G7" s="38" t="str">
        <f>IF(AVERAGE('Equity-RELIANCE-EQ-26-02-2026-2'!K2:K58)&gt;10000000,"High Market Participation","Normal Participation")</f>
        <v>High Market Participation</v>
      </c>
      <c r="H7" s="18"/>
      <c r="I7" s="7"/>
      <c r="J7" s="13"/>
      <c r="K7" s="14"/>
      <c r="L7" s="14"/>
      <c r="M7" s="14"/>
      <c r="N7" s="14"/>
      <c r="O7" s="14"/>
      <c r="P7" s="14"/>
    </row>
    <row r="8" spans="1:18" ht="18" x14ac:dyDescent="0.35">
      <c r="A8" s="14"/>
      <c r="B8" s="10"/>
      <c r="C8" s="12"/>
      <c r="D8" s="14"/>
      <c r="E8" s="18"/>
      <c r="F8" s="37"/>
      <c r="G8" s="39"/>
      <c r="H8" s="18"/>
      <c r="I8" s="14"/>
      <c r="J8" s="14"/>
      <c r="K8" s="14"/>
      <c r="L8" s="14"/>
      <c r="M8" s="14"/>
      <c r="N8" s="14"/>
      <c r="O8" s="14"/>
      <c r="P8" s="14"/>
      <c r="R8" t="s">
        <v>18</v>
      </c>
    </row>
    <row r="9" spans="1:18" x14ac:dyDescent="0.3">
      <c r="A9" s="14"/>
      <c r="B9" s="9"/>
      <c r="C9" s="8"/>
      <c r="D9" s="14"/>
      <c r="E9" s="14"/>
      <c r="F9" s="36" t="s">
        <v>23</v>
      </c>
      <c r="G9" s="38" t="str">
        <f>IF(AVERAGE('Perfomance Indicator'!A2:A58)&gt;0,"Positive Momentum","Negative Momentum")</f>
        <v>Positive Momentum</v>
      </c>
      <c r="H9" s="14"/>
      <c r="I9" s="14"/>
      <c r="J9" s="14"/>
      <c r="K9" s="14"/>
      <c r="L9" s="14"/>
      <c r="M9" s="14"/>
      <c r="N9" s="14"/>
      <c r="O9" s="14"/>
      <c r="P9" s="14"/>
    </row>
    <row r="10" spans="1:18" x14ac:dyDescent="0.3">
      <c r="A10" s="14"/>
      <c r="B10" s="10"/>
      <c r="C10" s="8"/>
      <c r="D10" s="19"/>
      <c r="E10" s="14"/>
      <c r="F10" s="37"/>
      <c r="G10" s="39"/>
      <c r="H10" s="14"/>
      <c r="I10" s="14"/>
      <c r="J10" s="14"/>
      <c r="K10" s="14"/>
      <c r="L10" s="14"/>
      <c r="M10" s="14"/>
      <c r="N10" s="14"/>
      <c r="O10" s="14"/>
      <c r="P10" s="14"/>
    </row>
    <row r="11" spans="1:18" ht="14.4" customHeight="1" x14ac:dyDescent="0.3">
      <c r="A11" s="14"/>
      <c r="B11" s="9"/>
      <c r="C11" s="8"/>
      <c r="D11" s="14"/>
      <c r="E11" s="14"/>
      <c r="F11" s="36" t="s">
        <v>21</v>
      </c>
      <c r="G11" s="38" t="str">
        <f>IF(AVERAGE('Perfomance Indicator'!B2:B58)&gt;25,"High Volatility","Low Volatility")</f>
        <v>High Volatility</v>
      </c>
      <c r="H11" s="14"/>
      <c r="I11" s="14"/>
      <c r="J11" s="14"/>
      <c r="K11" s="14"/>
      <c r="L11" s="14"/>
      <c r="M11" s="14"/>
      <c r="N11" s="14"/>
      <c r="O11" s="14"/>
      <c r="P11" s="14"/>
    </row>
    <row r="12" spans="1:18" ht="15" thickBot="1" x14ac:dyDescent="0.35">
      <c r="A12" s="14"/>
      <c r="B12" s="7"/>
      <c r="C12" s="13"/>
      <c r="D12" s="14"/>
      <c r="E12" s="14"/>
      <c r="F12" s="40"/>
      <c r="G12" s="41"/>
      <c r="H12" s="14"/>
      <c r="I12" s="14"/>
      <c r="J12" s="14"/>
      <c r="K12" s="14"/>
      <c r="L12" s="14"/>
      <c r="M12" s="14"/>
      <c r="N12" s="14"/>
      <c r="O12" s="14"/>
      <c r="P12" s="14"/>
    </row>
    <row r="13" spans="1:18" ht="14.4" customHeight="1" x14ac:dyDescent="0.45">
      <c r="A13" s="14"/>
      <c r="B13" s="11"/>
      <c r="C13" s="8"/>
      <c r="D13" s="14"/>
      <c r="E13" s="14"/>
      <c r="F13" s="14"/>
      <c r="G13" s="20"/>
      <c r="H13" s="14"/>
      <c r="I13" s="14"/>
      <c r="J13" s="14"/>
      <c r="K13" s="14"/>
      <c r="L13" s="14"/>
      <c r="M13" s="14"/>
      <c r="N13" s="14"/>
      <c r="O13" s="14"/>
      <c r="P13" s="14"/>
    </row>
    <row r="14" spans="1:18" ht="21" x14ac:dyDescent="0.4">
      <c r="A14" s="14"/>
      <c r="B14" s="35"/>
      <c r="C14" s="35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  <row r="15" spans="1:18" ht="21" x14ac:dyDescent="0.4">
      <c r="A15" s="14"/>
      <c r="B15" s="21"/>
      <c r="C15" s="21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</row>
    <row r="16" spans="1:18" x14ac:dyDescent="0.3">
      <c r="A16" s="14"/>
      <c r="B16" s="14"/>
      <c r="C16" s="14"/>
      <c r="D16" s="14"/>
      <c r="E16" s="14"/>
      <c r="F16" s="14"/>
      <c r="G16" s="8"/>
      <c r="H16" s="14"/>
      <c r="I16" s="14"/>
      <c r="J16" s="14"/>
      <c r="K16" s="14"/>
      <c r="L16" s="14"/>
      <c r="M16" s="14"/>
      <c r="N16" s="14"/>
      <c r="O16" s="14"/>
      <c r="P16" s="14"/>
    </row>
    <row r="17" spans="1:16" x14ac:dyDescent="0.3">
      <c r="A17" s="14"/>
      <c r="B17" s="14"/>
      <c r="C17" s="14"/>
      <c r="D17" s="14"/>
      <c r="E17" s="14"/>
      <c r="F17" s="14"/>
      <c r="G17" s="8"/>
      <c r="H17" s="14"/>
      <c r="I17" s="14"/>
      <c r="J17" s="14"/>
      <c r="K17" s="14"/>
      <c r="L17" s="14"/>
      <c r="M17" s="14"/>
      <c r="N17" s="14"/>
      <c r="O17" s="14"/>
      <c r="P17" s="14"/>
    </row>
    <row r="18" spans="1:16" x14ac:dyDescent="0.3">
      <c r="A18" s="14"/>
      <c r="B18" s="14"/>
      <c r="C18" s="14"/>
      <c r="D18" s="14"/>
      <c r="E18" s="14"/>
      <c r="F18" s="14"/>
      <c r="G18" s="8"/>
      <c r="H18" s="14"/>
      <c r="I18" s="14"/>
      <c r="J18" s="14"/>
      <c r="K18" s="14"/>
      <c r="L18" s="14"/>
      <c r="M18" s="14"/>
      <c r="N18" s="14"/>
      <c r="O18" s="14"/>
      <c r="P18" s="14"/>
    </row>
    <row r="19" spans="1:16" x14ac:dyDescent="0.3">
      <c r="A19" s="14"/>
      <c r="B19" s="14"/>
      <c r="C19" s="14"/>
      <c r="D19" s="14"/>
      <c r="E19" s="14"/>
      <c r="F19" s="14"/>
      <c r="G19" s="8"/>
      <c r="H19" s="14"/>
      <c r="I19" s="14"/>
      <c r="J19" s="14"/>
      <c r="K19" s="14"/>
      <c r="L19" s="14"/>
      <c r="M19" s="14"/>
      <c r="N19" s="14"/>
      <c r="O19" s="14"/>
      <c r="P19" s="14"/>
    </row>
    <row r="20" spans="1:16" x14ac:dyDescent="0.3">
      <c r="A20" s="14"/>
      <c r="B20" s="14"/>
      <c r="C20" s="14"/>
      <c r="D20" s="14"/>
      <c r="E20" s="14"/>
      <c r="F20" s="14"/>
      <c r="G20" s="8"/>
      <c r="H20" s="14"/>
      <c r="I20" s="14"/>
      <c r="J20" s="14"/>
      <c r="K20" s="14"/>
      <c r="L20" s="14"/>
      <c r="M20" s="14"/>
      <c r="N20" s="14"/>
      <c r="O20" s="14"/>
      <c r="P20" s="14"/>
    </row>
    <row r="21" spans="1:16" x14ac:dyDescent="0.3">
      <c r="A21" s="14"/>
      <c r="B21" s="14"/>
      <c r="C21" s="14"/>
      <c r="D21" s="14"/>
      <c r="E21" s="14"/>
      <c r="F21" s="14"/>
      <c r="G21" s="8"/>
      <c r="H21" s="14"/>
      <c r="I21" s="14"/>
      <c r="J21" s="14"/>
      <c r="K21" s="14"/>
      <c r="L21" s="14"/>
      <c r="M21" s="14"/>
      <c r="N21" s="14"/>
      <c r="O21" s="14"/>
      <c r="P21" s="14"/>
    </row>
    <row r="22" spans="1:16" x14ac:dyDescent="0.3">
      <c r="A22" s="14"/>
      <c r="B22" s="14"/>
      <c r="C22" s="14"/>
      <c r="D22" s="14"/>
      <c r="E22" s="14"/>
      <c r="F22" s="14"/>
      <c r="G22" s="8"/>
      <c r="H22" s="14"/>
      <c r="I22" s="14"/>
      <c r="J22" s="14"/>
      <c r="K22" s="14"/>
      <c r="L22" s="14"/>
      <c r="M22" s="14"/>
      <c r="N22" s="14"/>
      <c r="O22" s="14"/>
      <c r="P22" s="14"/>
    </row>
    <row r="23" spans="1:16" x14ac:dyDescent="0.3">
      <c r="A23" s="14"/>
      <c r="B23" s="14"/>
      <c r="C23" s="14"/>
      <c r="D23" s="14"/>
      <c r="E23" s="14"/>
      <c r="F23" s="14"/>
      <c r="G23" s="8"/>
      <c r="H23" s="14"/>
      <c r="I23" s="14"/>
      <c r="J23" s="14"/>
      <c r="K23" s="14"/>
      <c r="L23" s="14"/>
      <c r="M23" s="14"/>
      <c r="N23" s="14"/>
      <c r="O23" s="14"/>
      <c r="P23" s="14"/>
    </row>
    <row r="24" spans="1:16" x14ac:dyDescent="0.3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</row>
    <row r="25" spans="1:16" x14ac:dyDescent="0.3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</row>
    <row r="26" spans="1:16" x14ac:dyDescent="0.3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</row>
    <row r="27" spans="1:16" x14ac:dyDescent="0.3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</row>
    <row r="28" spans="1:16" x14ac:dyDescent="0.3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</row>
    <row r="29" spans="1:16" x14ac:dyDescent="0.3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</row>
    <row r="30" spans="1:16" x14ac:dyDescent="0.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</row>
    <row r="31" spans="1:16" x14ac:dyDescent="0.3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</row>
    <row r="32" spans="1:16" x14ac:dyDescent="0.3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</row>
    <row r="33" spans="1:16" x14ac:dyDescent="0.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6" x14ac:dyDescent="0.3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</row>
    <row r="35" spans="1:16" x14ac:dyDescent="0.3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</row>
    <row r="36" spans="1:16" x14ac:dyDescent="0.3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</row>
    <row r="37" spans="1:16" x14ac:dyDescent="0.3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</row>
  </sheetData>
  <mergeCells count="10">
    <mergeCell ref="A2:P2"/>
    <mergeCell ref="B14:C14"/>
    <mergeCell ref="F5:F6"/>
    <mergeCell ref="G5:G6"/>
    <mergeCell ref="F7:F8"/>
    <mergeCell ref="G7:G8"/>
    <mergeCell ref="F9:F10"/>
    <mergeCell ref="G9:G10"/>
    <mergeCell ref="F11:F12"/>
    <mergeCell ref="G11:G12"/>
  </mergeCells>
  <phoneticPr fontId="23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Equity-RELIANCE-EQ-26-02-2026-2</vt:lpstr>
      <vt:lpstr>Perfomance Indicator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Himangi</dc:creator>
  <cp:lastModifiedBy>himangi2017@gmail.com</cp:lastModifiedBy>
  <dcterms:created xsi:type="dcterms:W3CDTF">2026-05-27T08:06:09Z</dcterms:created>
  <dcterms:modified xsi:type="dcterms:W3CDTF">2026-06-05T13:13:08Z</dcterms:modified>
</cp:coreProperties>
</file>